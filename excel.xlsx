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heony/Downloads/"/>
    </mc:Choice>
  </mc:AlternateContent>
  <xr:revisionPtr revIDLastSave="0" documentId="8_{F99931C5-EB23-D14C-AC97-368D69F665F8}" xr6:coauthVersionLast="47" xr6:coauthVersionMax="47" xr10:uidLastSave="{00000000-0000-0000-0000-000000000000}"/>
  <bookViews>
    <workbookView xWindow="44500" yWindow="3060" windowWidth="38400" windowHeight="21100" xr2:uid="{00000000-000D-0000-FFFF-FFFF00000000}"/>
  </bookViews>
  <sheets>
    <sheet name="주문판매내역서" sheetId="1" r:id="rId1"/>
    <sheet name="주문판매현황" sheetId="2" r:id="rId2"/>
    <sheet name="주문판매 월별 통계" sheetId="3" r:id="rId3"/>
  </sheets>
  <definedNames>
    <definedName name="_xlnm._FilterDatabase" localSheetId="0" hidden="1">주문판매내역서!$D$1:$D$529</definedName>
    <definedName name="_xlnm._FilterDatabase" localSheetId="1" hidden="1">주문판매현황!$A$9:$M$303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B7" i="3"/>
  <c r="B6" i="3"/>
  <c r="B5" i="3"/>
  <c r="B4" i="3"/>
  <c r="L15" i="2"/>
  <c r="K15" i="2"/>
  <c r="J15" i="2"/>
  <c r="I15" i="2"/>
  <c r="H15" i="2"/>
  <c r="G15" i="2"/>
  <c r="F15" i="2"/>
  <c r="E15" i="2"/>
  <c r="D15" i="2"/>
  <c r="C15" i="2"/>
  <c r="B15" i="2"/>
  <c r="M15" i="2" s="1"/>
  <c r="A15" i="2"/>
  <c r="L14" i="2"/>
  <c r="K14" i="2"/>
  <c r="J14" i="2"/>
  <c r="I14" i="2"/>
  <c r="H14" i="2"/>
  <c r="F14" i="2"/>
  <c r="E14" i="2"/>
  <c r="D14" i="2"/>
  <c r="C14" i="2"/>
  <c r="B14" i="2"/>
  <c r="M14" i="2" s="1"/>
  <c r="L13" i="2"/>
  <c r="K13" i="2"/>
  <c r="J13" i="2"/>
  <c r="I13" i="2"/>
  <c r="H13" i="2"/>
  <c r="F13" i="2"/>
  <c r="E13" i="2"/>
  <c r="D13" i="2"/>
  <c r="C13" i="2"/>
  <c r="B13" i="2"/>
  <c r="M13" i="2" s="1"/>
  <c r="L12" i="2"/>
  <c r="K12" i="2"/>
  <c r="J12" i="2"/>
  <c r="I12" i="2"/>
  <c r="H12" i="2"/>
  <c r="F12" i="2"/>
  <c r="E12" i="2"/>
  <c r="D12" i="2"/>
  <c r="C12" i="2"/>
  <c r="B12" i="2"/>
  <c r="M12" i="2" s="1"/>
  <c r="L11" i="2"/>
  <c r="K11" i="2"/>
  <c r="J11" i="2"/>
  <c r="I11" i="2"/>
  <c r="H11" i="2"/>
  <c r="F11" i="2"/>
  <c r="E11" i="2"/>
  <c r="C11" i="2"/>
  <c r="B11" i="2"/>
  <c r="M11" i="2" s="1"/>
  <c r="L10" i="2"/>
  <c r="K10" i="2"/>
  <c r="J10" i="2"/>
  <c r="I10" i="2"/>
  <c r="H10" i="2"/>
  <c r="F10" i="2"/>
  <c r="E10" i="2"/>
  <c r="D10" i="2"/>
  <c r="C10" i="2"/>
  <c r="B10" i="2"/>
  <c r="M10" i="2" s="1"/>
  <c r="F4" i="2"/>
  <c r="U412" i="1"/>
  <c r="R412" i="1"/>
  <c r="S412" i="1" s="1"/>
  <c r="A412" i="1"/>
  <c r="U411" i="1"/>
  <c r="R411" i="1"/>
  <c r="S411" i="1" s="1"/>
  <c r="A411" i="1"/>
  <c r="U410" i="1"/>
  <c r="R410" i="1"/>
  <c r="S410" i="1" s="1"/>
  <c r="A410" i="1"/>
  <c r="U409" i="1"/>
  <c r="R409" i="1"/>
  <c r="A409" i="1"/>
  <c r="U408" i="1"/>
  <c r="R408" i="1"/>
  <c r="A408" i="1"/>
  <c r="U407" i="1"/>
  <c r="R407" i="1"/>
  <c r="S407" i="1" s="1"/>
  <c r="A407" i="1"/>
  <c r="U406" i="1"/>
  <c r="R406" i="1"/>
  <c r="S406" i="1" s="1"/>
  <c r="A406" i="1"/>
  <c r="U405" i="1"/>
  <c r="R405" i="1"/>
  <c r="S405" i="1" s="1"/>
  <c r="G405" i="1" s="1"/>
  <c r="X405" i="1" s="1"/>
  <c r="Y405" i="1" s="1"/>
  <c r="Z405" i="1" s="1"/>
  <c r="A405" i="1"/>
  <c r="U404" i="1"/>
  <c r="R404" i="1"/>
  <c r="S404" i="1" s="1"/>
  <c r="A404" i="1"/>
  <c r="U403" i="1"/>
  <c r="R403" i="1"/>
  <c r="S403" i="1" s="1"/>
  <c r="G403" i="1"/>
  <c r="AB403" i="1" s="1"/>
  <c r="A403" i="1"/>
  <c r="U402" i="1"/>
  <c r="R402" i="1"/>
  <c r="S402" i="1" s="1"/>
  <c r="G402" i="1" s="1"/>
  <c r="A402" i="1"/>
  <c r="U401" i="1"/>
  <c r="R401" i="1"/>
  <c r="S401" i="1" s="1"/>
  <c r="A401" i="1"/>
  <c r="U399" i="1"/>
  <c r="R399" i="1"/>
  <c r="S399" i="1" s="1"/>
  <c r="G399" i="1" s="1"/>
  <c r="A399" i="1"/>
  <c r="U398" i="1"/>
  <c r="R398" i="1"/>
  <c r="A398" i="1"/>
  <c r="U397" i="1"/>
  <c r="R397" i="1"/>
  <c r="A397" i="1"/>
  <c r="U396" i="1"/>
  <c r="R396" i="1"/>
  <c r="S396" i="1" s="1"/>
  <c r="A396" i="1"/>
  <c r="U395" i="1"/>
  <c r="R395" i="1"/>
  <c r="S395" i="1" s="1"/>
  <c r="A395" i="1"/>
  <c r="U394" i="1"/>
  <c r="R394" i="1"/>
  <c r="A394" i="1"/>
  <c r="U393" i="1"/>
  <c r="R393" i="1"/>
  <c r="S393" i="1" s="1"/>
  <c r="G393" i="1" s="1"/>
  <c r="A393" i="1"/>
  <c r="U392" i="1"/>
  <c r="R392" i="1"/>
  <c r="A392" i="1"/>
  <c r="U391" i="1"/>
  <c r="R391" i="1"/>
  <c r="A391" i="1"/>
  <c r="U390" i="1"/>
  <c r="R390" i="1"/>
  <c r="S390" i="1" s="1"/>
  <c r="G390" i="1"/>
  <c r="A390" i="1"/>
  <c r="U389" i="1"/>
  <c r="R389" i="1"/>
  <c r="A389" i="1"/>
  <c r="U388" i="1"/>
  <c r="R388" i="1"/>
  <c r="S388" i="1" s="1"/>
  <c r="A388" i="1"/>
  <c r="U387" i="1"/>
  <c r="R387" i="1"/>
  <c r="A387" i="1"/>
  <c r="U386" i="1"/>
  <c r="R386" i="1"/>
  <c r="G386" i="1" s="1"/>
  <c r="A386" i="1"/>
  <c r="U385" i="1"/>
  <c r="R385" i="1"/>
  <c r="G385" i="1" s="1"/>
  <c r="X385" i="1" s="1"/>
  <c r="Y385" i="1" s="1"/>
  <c r="Z385" i="1" s="1"/>
  <c r="A385" i="1"/>
  <c r="U384" i="1"/>
  <c r="R384" i="1"/>
  <c r="A384" i="1"/>
  <c r="U383" i="1"/>
  <c r="R383" i="1"/>
  <c r="S383" i="1" s="1"/>
  <c r="A383" i="1"/>
  <c r="U382" i="1"/>
  <c r="R382" i="1"/>
  <c r="S382" i="1" s="1"/>
  <c r="A382" i="1"/>
  <c r="U381" i="1"/>
  <c r="R381" i="1"/>
  <c r="S381" i="1" s="1"/>
  <c r="G381" i="1" s="1"/>
  <c r="A381" i="1"/>
  <c r="U380" i="1"/>
  <c r="R380" i="1"/>
  <c r="A380" i="1"/>
  <c r="U379" i="1"/>
  <c r="R379" i="1"/>
  <c r="A379" i="1"/>
  <c r="U378" i="1"/>
  <c r="R378" i="1"/>
  <c r="S378" i="1" s="1"/>
  <c r="A378" i="1"/>
  <c r="U377" i="1"/>
  <c r="R377" i="1"/>
  <c r="S377" i="1" s="1"/>
  <c r="A377" i="1"/>
  <c r="U376" i="1"/>
  <c r="R376" i="1"/>
  <c r="S376" i="1" s="1"/>
  <c r="G376" i="1" s="1"/>
  <c r="A376" i="1"/>
  <c r="U375" i="1"/>
  <c r="R375" i="1"/>
  <c r="A375" i="1"/>
  <c r="U374" i="1"/>
  <c r="R374" i="1"/>
  <c r="S374" i="1" s="1"/>
  <c r="A374" i="1"/>
  <c r="U373" i="1"/>
  <c r="R373" i="1"/>
  <c r="S373" i="1" s="1"/>
  <c r="A373" i="1"/>
  <c r="U372" i="1"/>
  <c r="R372" i="1"/>
  <c r="A372" i="1"/>
  <c r="U371" i="1"/>
  <c r="R371" i="1"/>
  <c r="G371" i="1" s="1"/>
  <c r="A371" i="1"/>
  <c r="U370" i="1"/>
  <c r="R370" i="1"/>
  <c r="G370" i="1" s="1"/>
  <c r="A370" i="1"/>
  <c r="U369" i="1"/>
  <c r="R369" i="1"/>
  <c r="A369" i="1"/>
  <c r="U368" i="1"/>
  <c r="R368" i="1"/>
  <c r="G368" i="1" s="1"/>
  <c r="A368" i="1"/>
  <c r="U367" i="1"/>
  <c r="R367" i="1"/>
  <c r="G367" i="1"/>
  <c r="AD367" i="1" s="1"/>
  <c r="A367" i="1"/>
  <c r="U366" i="1"/>
  <c r="R366" i="1"/>
  <c r="S366" i="1" s="1"/>
  <c r="A366" i="1"/>
  <c r="U365" i="1"/>
  <c r="R365" i="1"/>
  <c r="A365" i="1"/>
  <c r="U364" i="1"/>
  <c r="R364" i="1"/>
  <c r="S364" i="1" s="1"/>
  <c r="G364" i="1"/>
  <c r="A364" i="1"/>
  <c r="U363" i="1"/>
  <c r="R363" i="1"/>
  <c r="S363" i="1" s="1"/>
  <c r="G363" i="1" s="1"/>
  <c r="A363" i="1"/>
  <c r="U362" i="1"/>
  <c r="R362" i="1"/>
  <c r="S362" i="1" s="1"/>
  <c r="G362" i="1"/>
  <c r="A362" i="1"/>
  <c r="U361" i="1"/>
  <c r="R361" i="1"/>
  <c r="A361" i="1"/>
  <c r="U360" i="1"/>
  <c r="R360" i="1"/>
  <c r="S360" i="1" s="1"/>
  <c r="G360" i="1" s="1"/>
  <c r="A360" i="1"/>
  <c r="U358" i="1"/>
  <c r="R358" i="1"/>
  <c r="A358" i="1"/>
  <c r="U357" i="1"/>
  <c r="R357" i="1"/>
  <c r="A357" i="1"/>
  <c r="U356" i="1"/>
  <c r="R356" i="1"/>
  <c r="S356" i="1" s="1"/>
  <c r="G356" i="1"/>
  <c r="A356" i="1"/>
  <c r="U355" i="1"/>
  <c r="R355" i="1"/>
  <c r="A355" i="1"/>
  <c r="U354" i="1"/>
  <c r="R354" i="1"/>
  <c r="A354" i="1"/>
  <c r="U353" i="1"/>
  <c r="R353" i="1"/>
  <c r="A353" i="1"/>
  <c r="U352" i="1"/>
  <c r="R352" i="1"/>
  <c r="S352" i="1" s="1"/>
  <c r="G352" i="1" s="1"/>
  <c r="A352" i="1"/>
  <c r="U351" i="1"/>
  <c r="R351" i="1"/>
  <c r="A351" i="1"/>
  <c r="U350" i="1"/>
  <c r="R350" i="1"/>
  <c r="S350" i="1" s="1"/>
  <c r="G350" i="1"/>
  <c r="A350" i="1"/>
  <c r="U349" i="1"/>
  <c r="R349" i="1"/>
  <c r="A349" i="1"/>
  <c r="U348" i="1"/>
  <c r="R348" i="1"/>
  <c r="A348" i="1"/>
  <c r="U347" i="1"/>
  <c r="R347" i="1"/>
  <c r="S347" i="1" s="1"/>
  <c r="A347" i="1"/>
  <c r="U346" i="1"/>
  <c r="G346" i="1" s="1"/>
  <c r="R346" i="1"/>
  <c r="S346" i="1" s="1"/>
  <c r="A346" i="1"/>
  <c r="U345" i="1"/>
  <c r="R345" i="1"/>
  <c r="A345" i="1"/>
  <c r="U344" i="1"/>
  <c r="R344" i="1"/>
  <c r="A344" i="1"/>
  <c r="U343" i="1"/>
  <c r="R343" i="1"/>
  <c r="A343" i="1"/>
  <c r="U342" i="1"/>
  <c r="R342" i="1"/>
  <c r="S342" i="1" s="1"/>
  <c r="G342" i="1" s="1"/>
  <c r="A342" i="1"/>
  <c r="U341" i="1"/>
  <c r="R341" i="1"/>
  <c r="S341" i="1" s="1"/>
  <c r="A341" i="1"/>
  <c r="U340" i="1"/>
  <c r="R340" i="1"/>
  <c r="A340" i="1"/>
  <c r="U339" i="1"/>
  <c r="R339" i="1"/>
  <c r="S339" i="1" s="1"/>
  <c r="A339" i="1"/>
  <c r="U338" i="1"/>
  <c r="R338" i="1"/>
  <c r="S338" i="1" s="1"/>
  <c r="A338" i="1"/>
  <c r="U337" i="1"/>
  <c r="R337" i="1"/>
  <c r="S337" i="1" s="1"/>
  <c r="G337" i="1" s="1"/>
  <c r="A337" i="1"/>
  <c r="U336" i="1"/>
  <c r="R336" i="1"/>
  <c r="S336" i="1" s="1"/>
  <c r="G336" i="1"/>
  <c r="AC336" i="1" s="1"/>
  <c r="A336" i="1"/>
  <c r="U335" i="1"/>
  <c r="R335" i="1"/>
  <c r="A335" i="1"/>
  <c r="U334" i="1"/>
  <c r="R334" i="1"/>
  <c r="S334" i="1" s="1"/>
  <c r="A334" i="1"/>
  <c r="U333" i="1"/>
  <c r="R333" i="1"/>
  <c r="A333" i="1"/>
  <c r="U332" i="1"/>
  <c r="S332" i="1"/>
  <c r="R332" i="1"/>
  <c r="A332" i="1"/>
  <c r="U331" i="1"/>
  <c r="G331" i="1" s="1"/>
  <c r="R331" i="1"/>
  <c r="S331" i="1" s="1"/>
  <c r="A331" i="1"/>
  <c r="U330" i="1"/>
  <c r="R330" i="1"/>
  <c r="S330" i="1" s="1"/>
  <c r="G330" i="1" s="1"/>
  <c r="A330" i="1"/>
  <c r="U328" i="1"/>
  <c r="R328" i="1"/>
  <c r="S328" i="1" s="1"/>
  <c r="A328" i="1"/>
  <c r="U327" i="1"/>
  <c r="R327" i="1"/>
  <c r="S327" i="1" s="1"/>
  <c r="A327" i="1"/>
  <c r="U326" i="1"/>
  <c r="R326" i="1"/>
  <c r="S326" i="1" s="1"/>
  <c r="G326" i="1" s="1"/>
  <c r="AC326" i="1" s="1"/>
  <c r="A326" i="1"/>
  <c r="U325" i="1"/>
  <c r="R325" i="1"/>
  <c r="S325" i="1" s="1"/>
  <c r="G325" i="1"/>
  <c r="A325" i="1"/>
  <c r="U324" i="1"/>
  <c r="R324" i="1"/>
  <c r="S324" i="1" s="1"/>
  <c r="G324" i="1"/>
  <c r="AD324" i="1" s="1"/>
  <c r="A324" i="1"/>
  <c r="U323" i="1"/>
  <c r="R323" i="1"/>
  <c r="S323" i="1" s="1"/>
  <c r="A323" i="1"/>
  <c r="U322" i="1"/>
  <c r="R322" i="1"/>
  <c r="A322" i="1"/>
  <c r="U321" i="1"/>
  <c r="R321" i="1"/>
  <c r="S321" i="1" s="1"/>
  <c r="A321" i="1"/>
  <c r="U320" i="1"/>
  <c r="R320" i="1"/>
  <c r="A320" i="1"/>
  <c r="U319" i="1"/>
  <c r="R319" i="1"/>
  <c r="A319" i="1"/>
  <c r="U318" i="1"/>
  <c r="R318" i="1"/>
  <c r="S318" i="1" s="1"/>
  <c r="G318" i="1" s="1"/>
  <c r="A318" i="1"/>
  <c r="U317" i="1"/>
  <c r="R317" i="1"/>
  <c r="S317" i="1" s="1"/>
  <c r="A317" i="1"/>
  <c r="U316" i="1"/>
  <c r="R316" i="1"/>
  <c r="A316" i="1"/>
  <c r="U315" i="1"/>
  <c r="R315" i="1"/>
  <c r="S315" i="1" s="1"/>
  <c r="G315" i="1"/>
  <c r="AC315" i="1" s="1"/>
  <c r="A315" i="1"/>
  <c r="U314" i="1"/>
  <c r="R314" i="1"/>
  <c r="A314" i="1"/>
  <c r="U313" i="1"/>
  <c r="R313" i="1"/>
  <c r="S313" i="1" s="1"/>
  <c r="G313" i="1"/>
  <c r="A313" i="1"/>
  <c r="U312" i="1"/>
  <c r="R312" i="1"/>
  <c r="S312" i="1" s="1"/>
  <c r="G312" i="1" s="1"/>
  <c r="AB312" i="1" s="1"/>
  <c r="A312" i="1"/>
  <c r="U311" i="1"/>
  <c r="R311" i="1"/>
  <c r="S311" i="1" s="1"/>
  <c r="A311" i="1"/>
  <c r="U310" i="1"/>
  <c r="R310" i="1"/>
  <c r="S310" i="1" s="1"/>
  <c r="A310" i="1"/>
  <c r="U309" i="1"/>
  <c r="R309" i="1"/>
  <c r="A309" i="1"/>
  <c r="U308" i="1"/>
  <c r="R308" i="1"/>
  <c r="S308" i="1" s="1"/>
  <c r="A308" i="1"/>
  <c r="U307" i="1"/>
  <c r="R307" i="1"/>
  <c r="S307" i="1" s="1"/>
  <c r="A307" i="1"/>
  <c r="U306" i="1"/>
  <c r="R306" i="1"/>
  <c r="S306" i="1" s="1"/>
  <c r="G306" i="1" s="1"/>
  <c r="A306" i="1"/>
  <c r="U305" i="1"/>
  <c r="R305" i="1"/>
  <c r="S305" i="1" s="1"/>
  <c r="A305" i="1"/>
  <c r="U303" i="1"/>
  <c r="R303" i="1"/>
  <c r="S303" i="1" s="1"/>
  <c r="G303" i="1" s="1"/>
  <c r="AD303" i="1" s="1"/>
  <c r="A303" i="1"/>
  <c r="U302" i="1"/>
  <c r="R302" i="1"/>
  <c r="A302" i="1"/>
  <c r="U301" i="1"/>
  <c r="G301" i="1" s="1"/>
  <c r="R301" i="1"/>
  <c r="S301" i="1" s="1"/>
  <c r="A301" i="1"/>
  <c r="U300" i="1"/>
  <c r="G300" i="1" s="1"/>
  <c r="R300" i="1"/>
  <c r="S300" i="1" s="1"/>
  <c r="A300" i="1"/>
  <c r="U299" i="1"/>
  <c r="R299" i="1"/>
  <c r="S299" i="1" s="1"/>
  <c r="A299" i="1"/>
  <c r="U298" i="1"/>
  <c r="R298" i="1"/>
  <c r="A298" i="1"/>
  <c r="U297" i="1"/>
  <c r="R297" i="1"/>
  <c r="S297" i="1" s="1"/>
  <c r="A297" i="1"/>
  <c r="U296" i="1"/>
  <c r="R296" i="1"/>
  <c r="S296" i="1" s="1"/>
  <c r="A296" i="1"/>
  <c r="U295" i="1"/>
  <c r="R295" i="1"/>
  <c r="S295" i="1" s="1"/>
  <c r="A295" i="1"/>
  <c r="U294" i="1"/>
  <c r="R294" i="1"/>
  <c r="A294" i="1"/>
  <c r="U293" i="1"/>
  <c r="R293" i="1"/>
  <c r="A293" i="1"/>
  <c r="U292" i="1"/>
  <c r="R292" i="1"/>
  <c r="S292" i="1" s="1"/>
  <c r="G292" i="1" s="1"/>
  <c r="AC292" i="1" s="1"/>
  <c r="A292" i="1"/>
  <c r="U291" i="1"/>
  <c r="R291" i="1"/>
  <c r="S291" i="1" s="1"/>
  <c r="G291" i="1" s="1"/>
  <c r="A291" i="1"/>
  <c r="U290" i="1"/>
  <c r="R290" i="1"/>
  <c r="S290" i="1" s="1"/>
  <c r="A290" i="1"/>
  <c r="U289" i="1"/>
  <c r="R289" i="1"/>
  <c r="A289" i="1"/>
  <c r="U288" i="1"/>
  <c r="R288" i="1"/>
  <c r="S288" i="1" s="1"/>
  <c r="A288" i="1"/>
  <c r="U287" i="1"/>
  <c r="R287" i="1"/>
  <c r="S287" i="1" s="1"/>
  <c r="A287" i="1"/>
  <c r="U286" i="1"/>
  <c r="R286" i="1"/>
  <c r="S286" i="1" s="1"/>
  <c r="G286" i="1" s="1"/>
  <c r="A286" i="1"/>
  <c r="U285" i="1"/>
  <c r="R285" i="1"/>
  <c r="S285" i="1" s="1"/>
  <c r="A285" i="1"/>
  <c r="U284" i="1"/>
  <c r="R284" i="1"/>
  <c r="S284" i="1" s="1"/>
  <c r="A284" i="1"/>
  <c r="U283" i="1"/>
  <c r="R283" i="1"/>
  <c r="S283" i="1" s="1"/>
  <c r="G283" i="1"/>
  <c r="A283" i="1"/>
  <c r="U282" i="1"/>
  <c r="R282" i="1"/>
  <c r="S282" i="1" s="1"/>
  <c r="G282" i="1"/>
  <c r="A282" i="1"/>
  <c r="U280" i="1"/>
  <c r="R280" i="1"/>
  <c r="S280" i="1" s="1"/>
  <c r="G280" i="1" s="1"/>
  <c r="A280" i="1"/>
  <c r="U279" i="1"/>
  <c r="R279" i="1"/>
  <c r="S279" i="1" s="1"/>
  <c r="A279" i="1"/>
  <c r="U278" i="1"/>
  <c r="R278" i="1"/>
  <c r="S278" i="1" s="1"/>
  <c r="A278" i="1"/>
  <c r="U277" i="1"/>
  <c r="R277" i="1"/>
  <c r="S277" i="1" s="1"/>
  <c r="G277" i="1"/>
  <c r="A277" i="1"/>
  <c r="U276" i="1"/>
  <c r="R276" i="1"/>
  <c r="A276" i="1"/>
  <c r="U275" i="1"/>
  <c r="R275" i="1"/>
  <c r="S275" i="1" s="1"/>
  <c r="G275" i="1" s="1"/>
  <c r="A275" i="1"/>
  <c r="U274" i="1"/>
  <c r="R274" i="1"/>
  <c r="S274" i="1" s="1"/>
  <c r="G274" i="1" s="1"/>
  <c r="A274" i="1"/>
  <c r="U273" i="1"/>
  <c r="R273" i="1"/>
  <c r="S273" i="1" s="1"/>
  <c r="A273" i="1"/>
  <c r="U272" i="1"/>
  <c r="R272" i="1"/>
  <c r="S272" i="1" s="1"/>
  <c r="G272" i="1" s="1"/>
  <c r="A272" i="1"/>
  <c r="U271" i="1"/>
  <c r="R271" i="1"/>
  <c r="A271" i="1"/>
  <c r="U270" i="1"/>
  <c r="R270" i="1"/>
  <c r="S270" i="1" s="1"/>
  <c r="A270" i="1"/>
  <c r="U269" i="1"/>
  <c r="R269" i="1"/>
  <c r="S269" i="1" s="1"/>
  <c r="G269" i="1" s="1"/>
  <c r="A269" i="1"/>
  <c r="U268" i="1"/>
  <c r="R268" i="1"/>
  <c r="S268" i="1" s="1"/>
  <c r="G268" i="1" s="1"/>
  <c r="A268" i="1"/>
  <c r="U267" i="1"/>
  <c r="R267" i="1"/>
  <c r="A267" i="1"/>
  <c r="U266" i="1"/>
  <c r="R266" i="1"/>
  <c r="S266" i="1" s="1"/>
  <c r="G266" i="1" s="1"/>
  <c r="AD266" i="1" s="1"/>
  <c r="A266" i="1"/>
  <c r="U265" i="1"/>
  <c r="R265" i="1"/>
  <c r="S265" i="1" s="1"/>
  <c r="A265" i="1"/>
  <c r="U264" i="1"/>
  <c r="R264" i="1"/>
  <c r="S264" i="1" s="1"/>
  <c r="A264" i="1"/>
  <c r="U263" i="1"/>
  <c r="R263" i="1"/>
  <c r="S263" i="1" s="1"/>
  <c r="A263" i="1"/>
  <c r="U262" i="1"/>
  <c r="R262" i="1"/>
  <c r="S262" i="1" s="1"/>
  <c r="A262" i="1"/>
  <c r="U261" i="1"/>
  <c r="R261" i="1"/>
  <c r="S261" i="1" s="1"/>
  <c r="G261" i="1" s="1"/>
  <c r="A261" i="1"/>
  <c r="U260" i="1"/>
  <c r="R260" i="1"/>
  <c r="S260" i="1" s="1"/>
  <c r="A260" i="1"/>
  <c r="U259" i="1"/>
  <c r="R259" i="1"/>
  <c r="S259" i="1" s="1"/>
  <c r="A259" i="1"/>
  <c r="U258" i="1"/>
  <c r="R258" i="1"/>
  <c r="S258" i="1" s="1"/>
  <c r="A258" i="1"/>
  <c r="U257" i="1"/>
  <c r="R257" i="1"/>
  <c r="A257" i="1"/>
  <c r="U256" i="1"/>
  <c r="R256" i="1"/>
  <c r="A256" i="1"/>
  <c r="U255" i="1"/>
  <c r="R255" i="1"/>
  <c r="S255" i="1" s="1"/>
  <c r="G255" i="1" s="1"/>
  <c r="A255" i="1"/>
  <c r="U254" i="1"/>
  <c r="R254" i="1"/>
  <c r="S254" i="1" s="1"/>
  <c r="A254" i="1"/>
  <c r="U253" i="1"/>
  <c r="R253" i="1"/>
  <c r="A253" i="1"/>
  <c r="U252" i="1"/>
  <c r="R252" i="1"/>
  <c r="S252" i="1" s="1"/>
  <c r="A252" i="1"/>
  <c r="U251" i="1"/>
  <c r="R251" i="1"/>
  <c r="S251" i="1" s="1"/>
  <c r="G251" i="1"/>
  <c r="A251" i="1"/>
  <c r="U250" i="1"/>
  <c r="R250" i="1"/>
  <c r="S250" i="1" s="1"/>
  <c r="A250" i="1"/>
  <c r="U249" i="1"/>
  <c r="R249" i="1"/>
  <c r="S249" i="1" s="1"/>
  <c r="A249" i="1"/>
  <c r="U248" i="1"/>
  <c r="R248" i="1"/>
  <c r="S248" i="1" s="1"/>
  <c r="G248" i="1" s="1"/>
  <c r="A248" i="1"/>
  <c r="U247" i="1"/>
  <c r="R247" i="1"/>
  <c r="A247" i="1"/>
  <c r="U246" i="1"/>
  <c r="R246" i="1"/>
  <c r="A246" i="1"/>
  <c r="U245" i="1"/>
  <c r="R245" i="1"/>
  <c r="A245" i="1"/>
  <c r="U244" i="1"/>
  <c r="R244" i="1"/>
  <c r="A244" i="1"/>
  <c r="U243" i="1"/>
  <c r="R243" i="1"/>
  <c r="S243" i="1" s="1"/>
  <c r="A243" i="1"/>
  <c r="U242" i="1"/>
  <c r="R242" i="1"/>
  <c r="S242" i="1" s="1"/>
  <c r="G242" i="1" s="1"/>
  <c r="A242" i="1"/>
  <c r="U241" i="1"/>
  <c r="R241" i="1"/>
  <c r="S241" i="1" s="1"/>
  <c r="A241" i="1"/>
  <c r="U240" i="1"/>
  <c r="R240" i="1"/>
  <c r="S240" i="1" s="1"/>
  <c r="A240" i="1"/>
  <c r="U239" i="1"/>
  <c r="R239" i="1"/>
  <c r="S239" i="1" s="1"/>
  <c r="A239" i="1"/>
  <c r="U238" i="1"/>
  <c r="R238" i="1"/>
  <c r="S238" i="1" s="1"/>
  <c r="A238" i="1"/>
  <c r="U237" i="1"/>
  <c r="R237" i="1"/>
  <c r="S237" i="1" s="1"/>
  <c r="A237" i="1"/>
  <c r="U236" i="1"/>
  <c r="R236" i="1"/>
  <c r="S236" i="1" s="1"/>
  <c r="A236" i="1"/>
  <c r="U235" i="1"/>
  <c r="R235" i="1"/>
  <c r="S235" i="1" s="1"/>
  <c r="A235" i="1"/>
  <c r="U234" i="1"/>
  <c r="R234" i="1"/>
  <c r="S234" i="1" s="1"/>
  <c r="A234" i="1"/>
  <c r="U232" i="1"/>
  <c r="S232" i="1"/>
  <c r="R232" i="1"/>
  <c r="A232" i="1"/>
  <c r="U231" i="1"/>
  <c r="R231" i="1"/>
  <c r="S231" i="1" s="1"/>
  <c r="G231" i="1" s="1"/>
  <c r="A231" i="1"/>
  <c r="U230" i="1"/>
  <c r="R230" i="1"/>
  <c r="S230" i="1" s="1"/>
  <c r="A230" i="1"/>
  <c r="U229" i="1"/>
  <c r="R229" i="1"/>
  <c r="A229" i="1"/>
  <c r="U228" i="1"/>
  <c r="R228" i="1"/>
  <c r="S228" i="1" s="1"/>
  <c r="G228" i="1"/>
  <c r="A228" i="1"/>
  <c r="AD227" i="1"/>
  <c r="U227" i="1"/>
  <c r="R227" i="1"/>
  <c r="S227" i="1" s="1"/>
  <c r="G227" i="1"/>
  <c r="AC227" i="1" s="1"/>
  <c r="A227" i="1"/>
  <c r="U226" i="1"/>
  <c r="R226" i="1"/>
  <c r="S226" i="1" s="1"/>
  <c r="G226" i="1"/>
  <c r="A226" i="1"/>
  <c r="U225" i="1"/>
  <c r="R225" i="1"/>
  <c r="S225" i="1" s="1"/>
  <c r="A225" i="1"/>
  <c r="U224" i="1"/>
  <c r="R224" i="1"/>
  <c r="A224" i="1"/>
  <c r="U223" i="1"/>
  <c r="R223" i="1"/>
  <c r="S223" i="1" s="1"/>
  <c r="G223" i="1"/>
  <c r="A223" i="1"/>
  <c r="U222" i="1"/>
  <c r="R222" i="1"/>
  <c r="A222" i="1"/>
  <c r="U221" i="1"/>
  <c r="R221" i="1"/>
  <c r="S221" i="1" s="1"/>
  <c r="G221" i="1" s="1"/>
  <c r="A221" i="1"/>
  <c r="U220" i="1"/>
  <c r="R220" i="1"/>
  <c r="A220" i="1"/>
  <c r="U219" i="1"/>
  <c r="R219" i="1"/>
  <c r="S219" i="1" s="1"/>
  <c r="G219" i="1" s="1"/>
  <c r="A219" i="1"/>
  <c r="U218" i="1"/>
  <c r="R218" i="1"/>
  <c r="S218" i="1" s="1"/>
  <c r="A218" i="1"/>
  <c r="U217" i="1"/>
  <c r="R217" i="1"/>
  <c r="S217" i="1" s="1"/>
  <c r="A217" i="1"/>
  <c r="U216" i="1"/>
  <c r="R216" i="1"/>
  <c r="S216" i="1" s="1"/>
  <c r="A216" i="1"/>
  <c r="U215" i="1"/>
  <c r="R215" i="1"/>
  <c r="S215" i="1" s="1"/>
  <c r="A215" i="1"/>
  <c r="U214" i="1"/>
  <c r="R214" i="1"/>
  <c r="S214" i="1" s="1"/>
  <c r="A214" i="1"/>
  <c r="U213" i="1"/>
  <c r="R213" i="1"/>
  <c r="S213" i="1" s="1"/>
  <c r="G213" i="1"/>
  <c r="A213" i="1"/>
  <c r="U212" i="1"/>
  <c r="R212" i="1"/>
  <c r="S212" i="1" s="1"/>
  <c r="A212" i="1"/>
  <c r="U211" i="1"/>
  <c r="R211" i="1"/>
  <c r="A211" i="1"/>
  <c r="U210" i="1"/>
  <c r="R210" i="1"/>
  <c r="S210" i="1" s="1"/>
  <c r="G210" i="1" s="1"/>
  <c r="A210" i="1"/>
  <c r="U209" i="1"/>
  <c r="R209" i="1"/>
  <c r="S209" i="1" s="1"/>
  <c r="A209" i="1"/>
  <c r="U208" i="1"/>
  <c r="R208" i="1"/>
  <c r="S208" i="1" s="1"/>
  <c r="A208" i="1"/>
  <c r="U207" i="1"/>
  <c r="R207" i="1"/>
  <c r="S207" i="1" s="1"/>
  <c r="G207" i="1"/>
  <c r="A207" i="1"/>
  <c r="U206" i="1"/>
  <c r="R206" i="1"/>
  <c r="S206" i="1" s="1"/>
  <c r="A206" i="1"/>
  <c r="U205" i="1"/>
  <c r="R205" i="1"/>
  <c r="A205" i="1"/>
  <c r="U204" i="1"/>
  <c r="R204" i="1"/>
  <c r="S204" i="1" s="1"/>
  <c r="A204" i="1"/>
  <c r="U203" i="1"/>
  <c r="R203" i="1"/>
  <c r="A203" i="1"/>
  <c r="U202" i="1"/>
  <c r="R202" i="1"/>
  <c r="S202" i="1" s="1"/>
  <c r="A202" i="1"/>
  <c r="U201" i="1"/>
  <c r="R201" i="1"/>
  <c r="A201" i="1"/>
  <c r="U200" i="1"/>
  <c r="R200" i="1"/>
  <c r="S200" i="1" s="1"/>
  <c r="A200" i="1"/>
  <c r="U199" i="1"/>
  <c r="R199" i="1"/>
  <c r="S199" i="1" s="1"/>
  <c r="A199" i="1"/>
  <c r="U198" i="1"/>
  <c r="S198" i="1"/>
  <c r="G198" i="1" s="1"/>
  <c r="X198" i="1" s="1"/>
  <c r="Y198" i="1" s="1"/>
  <c r="Z198" i="1" s="1"/>
  <c r="R198" i="1"/>
  <c r="A198" i="1"/>
  <c r="U197" i="1"/>
  <c r="R197" i="1"/>
  <c r="A197" i="1"/>
  <c r="U196" i="1"/>
  <c r="R196" i="1"/>
  <c r="S196" i="1" s="1"/>
  <c r="G196" i="1" s="1"/>
  <c r="A196" i="1"/>
  <c r="U195" i="1"/>
  <c r="R195" i="1"/>
  <c r="S195" i="1" s="1"/>
  <c r="A195" i="1"/>
  <c r="U194" i="1"/>
  <c r="R194" i="1"/>
  <c r="S194" i="1" s="1"/>
  <c r="A194" i="1"/>
  <c r="U193" i="1"/>
  <c r="R193" i="1"/>
  <c r="S193" i="1" s="1"/>
  <c r="G193" i="1" s="1"/>
  <c r="AD193" i="1" s="1"/>
  <c r="A193" i="1"/>
  <c r="U192" i="1"/>
  <c r="R192" i="1"/>
  <c r="S192" i="1" s="1"/>
  <c r="A192" i="1"/>
  <c r="U191" i="1"/>
  <c r="R191" i="1"/>
  <c r="A191" i="1"/>
  <c r="U190" i="1"/>
  <c r="R190" i="1"/>
  <c r="S190" i="1" s="1"/>
  <c r="G190" i="1" s="1"/>
  <c r="A190" i="1"/>
  <c r="U189" i="1"/>
  <c r="R189" i="1"/>
  <c r="S189" i="1" s="1"/>
  <c r="A189" i="1"/>
  <c r="U188" i="1"/>
  <c r="R188" i="1"/>
  <c r="S188" i="1" s="1"/>
  <c r="A188" i="1"/>
  <c r="R187" i="1"/>
  <c r="S187" i="1" s="1"/>
  <c r="G187" i="1" s="1"/>
  <c r="A187" i="1"/>
  <c r="U186" i="1"/>
  <c r="R186" i="1"/>
  <c r="S186" i="1" s="1"/>
  <c r="A186" i="1"/>
  <c r="R185" i="1"/>
  <c r="S185" i="1" s="1"/>
  <c r="A185" i="1"/>
  <c r="R184" i="1"/>
  <c r="A184" i="1"/>
  <c r="U183" i="1"/>
  <c r="R183" i="1"/>
  <c r="S183" i="1" s="1"/>
  <c r="A183" i="1"/>
  <c r="U182" i="1"/>
  <c r="R182" i="1"/>
  <c r="S182" i="1" s="1"/>
  <c r="A182" i="1"/>
  <c r="U181" i="1"/>
  <c r="R181" i="1"/>
  <c r="S181" i="1" s="1"/>
  <c r="G181" i="1" s="1"/>
  <c r="AD181" i="1" s="1"/>
  <c r="A181" i="1"/>
  <c r="U180" i="1"/>
  <c r="R180" i="1"/>
  <c r="S180" i="1" s="1"/>
  <c r="G180" i="1" s="1"/>
  <c r="A180" i="1"/>
  <c r="U179" i="1"/>
  <c r="R179" i="1"/>
  <c r="S179" i="1" s="1"/>
  <c r="G179" i="1" s="1"/>
  <c r="A179" i="1"/>
  <c r="U178" i="1"/>
  <c r="R178" i="1"/>
  <c r="A178" i="1"/>
  <c r="U177" i="1"/>
  <c r="R177" i="1"/>
  <c r="S177" i="1" s="1"/>
  <c r="A177" i="1"/>
  <c r="U175" i="1"/>
  <c r="S175" i="1"/>
  <c r="A175" i="1"/>
  <c r="U174" i="1"/>
  <c r="R174" i="1"/>
  <c r="S174" i="1" s="1"/>
  <c r="A174" i="1"/>
  <c r="U173" i="1"/>
  <c r="R173" i="1"/>
  <c r="S173" i="1" s="1"/>
  <c r="G173" i="1" s="1"/>
  <c r="AB173" i="1" s="1"/>
  <c r="A173" i="1"/>
  <c r="R172" i="1"/>
  <c r="S172" i="1" s="1"/>
  <c r="G172" i="1" s="1"/>
  <c r="A172" i="1"/>
  <c r="R171" i="1"/>
  <c r="S171" i="1" s="1"/>
  <c r="A171" i="1"/>
  <c r="S170" i="1"/>
  <c r="G170" i="1" s="1"/>
  <c r="R170" i="1"/>
  <c r="A170" i="1"/>
  <c r="R169" i="1"/>
  <c r="S169" i="1" s="1"/>
  <c r="G169" i="1" s="1"/>
  <c r="A169" i="1"/>
  <c r="R168" i="1"/>
  <c r="S168" i="1" s="1"/>
  <c r="G168" i="1" s="1"/>
  <c r="A168" i="1"/>
  <c r="U167" i="1"/>
  <c r="R167" i="1"/>
  <c r="S167" i="1" s="1"/>
  <c r="A167" i="1"/>
  <c r="U166" i="1"/>
  <c r="R166" i="1"/>
  <c r="S166" i="1" s="1"/>
  <c r="A166" i="1"/>
  <c r="U165" i="1"/>
  <c r="R165" i="1"/>
  <c r="S165" i="1" s="1"/>
  <c r="G165" i="1" s="1"/>
  <c r="A165" i="1"/>
  <c r="U164" i="1"/>
  <c r="R164" i="1"/>
  <c r="S164" i="1" s="1"/>
  <c r="G164" i="1" s="1"/>
  <c r="A164" i="1"/>
  <c r="U163" i="1"/>
  <c r="R163" i="1"/>
  <c r="A163" i="1"/>
  <c r="U162" i="1"/>
  <c r="R162" i="1"/>
  <c r="S162" i="1" s="1"/>
  <c r="G162" i="1" s="1"/>
  <c r="A162" i="1"/>
  <c r="U161" i="1"/>
  <c r="R161" i="1"/>
  <c r="A161" i="1"/>
  <c r="U160" i="1"/>
  <c r="R160" i="1"/>
  <c r="S160" i="1" s="1"/>
  <c r="G160" i="1" s="1"/>
  <c r="A160" i="1"/>
  <c r="U159" i="1"/>
  <c r="R159" i="1"/>
  <c r="S159" i="1" s="1"/>
  <c r="A159" i="1"/>
  <c r="U158" i="1"/>
  <c r="R158" i="1"/>
  <c r="S158" i="1" s="1"/>
  <c r="G158" i="1"/>
  <c r="AD158" i="1" s="1"/>
  <c r="A158" i="1"/>
  <c r="U157" i="1"/>
  <c r="R157" i="1"/>
  <c r="S157" i="1" s="1"/>
  <c r="A157" i="1"/>
  <c r="U156" i="1"/>
  <c r="R156" i="1"/>
  <c r="S156" i="1" s="1"/>
  <c r="G156" i="1" s="1"/>
  <c r="A156" i="1"/>
  <c r="U155" i="1"/>
  <c r="R155" i="1"/>
  <c r="S155" i="1" s="1"/>
  <c r="A155" i="1"/>
  <c r="U154" i="1"/>
  <c r="R154" i="1"/>
  <c r="A154" i="1"/>
  <c r="U153" i="1"/>
  <c r="R153" i="1"/>
  <c r="G153" i="1" s="1"/>
  <c r="A153" i="1"/>
  <c r="U152" i="1"/>
  <c r="R152" i="1"/>
  <c r="A152" i="1"/>
  <c r="U151" i="1"/>
  <c r="R151" i="1"/>
  <c r="S151" i="1" s="1"/>
  <c r="A151" i="1"/>
  <c r="U150" i="1"/>
  <c r="R150" i="1"/>
  <c r="A150" i="1"/>
  <c r="U149" i="1"/>
  <c r="R149" i="1"/>
  <c r="A149" i="1"/>
  <c r="U148" i="1"/>
  <c r="S148" i="1"/>
  <c r="G148" i="1" s="1"/>
  <c r="AC148" i="1" s="1"/>
  <c r="R148" i="1"/>
  <c r="A148" i="1"/>
  <c r="U147" i="1"/>
  <c r="R147" i="1"/>
  <c r="A147" i="1"/>
  <c r="U146" i="1"/>
  <c r="R146" i="1"/>
  <c r="S146" i="1" s="1"/>
  <c r="A146" i="1"/>
  <c r="U145" i="1"/>
  <c r="R145" i="1"/>
  <c r="S145" i="1" s="1"/>
  <c r="A145" i="1"/>
  <c r="AD144" i="1"/>
  <c r="AC144" i="1"/>
  <c r="AB144" i="1"/>
  <c r="Y144" i="1"/>
  <c r="Z144" i="1" s="1"/>
  <c r="U144" i="1"/>
  <c r="R144" i="1"/>
  <c r="S144" i="1" s="1"/>
  <c r="G144" i="1"/>
  <c r="X144" i="1" s="1"/>
  <c r="A144" i="1"/>
  <c r="U143" i="1"/>
  <c r="R143" i="1"/>
  <c r="G143" i="1" s="1"/>
  <c r="A143" i="1"/>
  <c r="U142" i="1"/>
  <c r="R142" i="1"/>
  <c r="S142" i="1" s="1"/>
  <c r="G142" i="1" s="1"/>
  <c r="A142" i="1"/>
  <c r="U141" i="1"/>
  <c r="R141" i="1"/>
  <c r="A141" i="1"/>
  <c r="U140" i="1"/>
  <c r="R140" i="1"/>
  <c r="S140" i="1" s="1"/>
  <c r="A140" i="1"/>
  <c r="U139" i="1"/>
  <c r="R139" i="1"/>
  <c r="S139" i="1" s="1"/>
  <c r="A139" i="1"/>
  <c r="U138" i="1"/>
  <c r="R138" i="1"/>
  <c r="S138" i="1" s="1"/>
  <c r="G138" i="1" s="1"/>
  <c r="A138" i="1"/>
  <c r="U137" i="1"/>
  <c r="R137" i="1"/>
  <c r="A137" i="1"/>
  <c r="U136" i="1"/>
  <c r="R136" i="1"/>
  <c r="S136" i="1" s="1"/>
  <c r="G136" i="1" s="1"/>
  <c r="A136" i="1"/>
  <c r="U135" i="1"/>
  <c r="R135" i="1"/>
  <c r="S135" i="1" s="1"/>
  <c r="A135" i="1"/>
  <c r="U134" i="1"/>
  <c r="R134" i="1"/>
  <c r="A134" i="1"/>
  <c r="U132" i="1"/>
  <c r="R132" i="1"/>
  <c r="S132" i="1" s="1"/>
  <c r="G132" i="1"/>
  <c r="AD132" i="1" s="1"/>
  <c r="A132" i="1"/>
  <c r="U131" i="1"/>
  <c r="R131" i="1"/>
  <c r="A131" i="1"/>
  <c r="U130" i="1"/>
  <c r="R130" i="1"/>
  <c r="S130" i="1" s="1"/>
  <c r="G130" i="1"/>
  <c r="A130" i="1"/>
  <c r="U129" i="1"/>
  <c r="R129" i="1"/>
  <c r="S129" i="1" s="1"/>
  <c r="G129" i="1" s="1"/>
  <c r="A129" i="1"/>
  <c r="U128" i="1"/>
  <c r="R128" i="1"/>
  <c r="S128" i="1" s="1"/>
  <c r="A128" i="1"/>
  <c r="U127" i="1"/>
  <c r="R127" i="1"/>
  <c r="S127" i="1" s="1"/>
  <c r="G127" i="1" s="1"/>
  <c r="A127" i="1"/>
  <c r="U126" i="1"/>
  <c r="R126" i="1"/>
  <c r="A126" i="1"/>
  <c r="U125" i="1"/>
  <c r="R125" i="1"/>
  <c r="S125" i="1" s="1"/>
  <c r="A125" i="1"/>
  <c r="U124" i="1"/>
  <c r="R124" i="1"/>
  <c r="S124" i="1" s="1"/>
  <c r="A124" i="1"/>
  <c r="U123" i="1"/>
  <c r="R123" i="1"/>
  <c r="S123" i="1" s="1"/>
  <c r="G123" i="1" s="1"/>
  <c r="A123" i="1"/>
  <c r="U122" i="1"/>
  <c r="R122" i="1"/>
  <c r="S122" i="1" s="1"/>
  <c r="G122" i="1"/>
  <c r="A122" i="1"/>
  <c r="U121" i="1"/>
  <c r="R121" i="1"/>
  <c r="S121" i="1" s="1"/>
  <c r="G121" i="1" s="1"/>
  <c r="X121" i="1" s="1"/>
  <c r="Y121" i="1" s="1"/>
  <c r="Z121" i="1" s="1"/>
  <c r="A121" i="1"/>
  <c r="U120" i="1"/>
  <c r="R120" i="1"/>
  <c r="S120" i="1" s="1"/>
  <c r="A120" i="1"/>
  <c r="U119" i="1"/>
  <c r="R119" i="1"/>
  <c r="A119" i="1"/>
  <c r="U118" i="1"/>
  <c r="R118" i="1"/>
  <c r="S118" i="1" s="1"/>
  <c r="A118" i="1"/>
  <c r="U117" i="1"/>
  <c r="R117" i="1"/>
  <c r="S117" i="1" s="1"/>
  <c r="A117" i="1"/>
  <c r="U116" i="1"/>
  <c r="R116" i="1"/>
  <c r="A116" i="1"/>
  <c r="U115" i="1"/>
  <c r="R115" i="1"/>
  <c r="S115" i="1" s="1"/>
  <c r="A115" i="1"/>
  <c r="U114" i="1"/>
  <c r="R114" i="1"/>
  <c r="S114" i="1" s="1"/>
  <c r="A114" i="1"/>
  <c r="U113" i="1"/>
  <c r="R113" i="1"/>
  <c r="S113" i="1" s="1"/>
  <c r="A113" i="1"/>
  <c r="U112" i="1"/>
  <c r="R112" i="1"/>
  <c r="A112" i="1"/>
  <c r="U111" i="1"/>
  <c r="R111" i="1"/>
  <c r="A111" i="1"/>
  <c r="U110" i="1"/>
  <c r="R110" i="1"/>
  <c r="A110" i="1"/>
  <c r="U109" i="1"/>
  <c r="R109" i="1"/>
  <c r="A109" i="1"/>
  <c r="U108" i="1"/>
  <c r="R108" i="1"/>
  <c r="A108" i="1"/>
  <c r="U107" i="1"/>
  <c r="R107" i="1"/>
  <c r="S107" i="1" s="1"/>
  <c r="A107" i="1"/>
  <c r="U106" i="1"/>
  <c r="R106" i="1"/>
  <c r="S106" i="1" s="1"/>
  <c r="A106" i="1"/>
  <c r="U105" i="1"/>
  <c r="R105" i="1"/>
  <c r="S105" i="1" s="1"/>
  <c r="G105" i="1" s="1"/>
  <c r="A105" i="1"/>
  <c r="U104" i="1"/>
  <c r="R104" i="1"/>
  <c r="S104" i="1" s="1"/>
  <c r="A104" i="1"/>
  <c r="U103" i="1"/>
  <c r="R103" i="1"/>
  <c r="S103" i="1" s="1"/>
  <c r="A103" i="1"/>
  <c r="U102" i="1"/>
  <c r="R102" i="1"/>
  <c r="S102" i="1" s="1"/>
  <c r="G102" i="1" s="1"/>
  <c r="AD102" i="1" s="1"/>
  <c r="A102" i="1"/>
  <c r="U100" i="1"/>
  <c r="R100" i="1"/>
  <c r="S100" i="1" s="1"/>
  <c r="A100" i="1"/>
  <c r="U99" i="1"/>
  <c r="R99" i="1"/>
  <c r="S99" i="1" s="1"/>
  <c r="A99" i="1"/>
  <c r="U98" i="1"/>
  <c r="R98" i="1"/>
  <c r="S98" i="1" s="1"/>
  <c r="G98" i="1" s="1"/>
  <c r="A98" i="1"/>
  <c r="U97" i="1"/>
  <c r="S97" i="1"/>
  <c r="R97" i="1"/>
  <c r="A97" i="1"/>
  <c r="U96" i="1"/>
  <c r="R96" i="1"/>
  <c r="S96" i="1" s="1"/>
  <c r="A96" i="1"/>
  <c r="U95" i="1"/>
  <c r="R95" i="1"/>
  <c r="A95" i="1"/>
  <c r="U94" i="1"/>
  <c r="S94" i="1"/>
  <c r="R94" i="1"/>
  <c r="A94" i="1"/>
  <c r="U93" i="1"/>
  <c r="R93" i="1"/>
  <c r="A93" i="1"/>
  <c r="U92" i="1"/>
  <c r="R92" i="1"/>
  <c r="S92" i="1" s="1"/>
  <c r="A92" i="1"/>
  <c r="U91" i="1"/>
  <c r="R91" i="1"/>
  <c r="S91" i="1" s="1"/>
  <c r="A91" i="1"/>
  <c r="U90" i="1"/>
  <c r="R90" i="1"/>
  <c r="G90" i="1"/>
  <c r="AD90" i="1" s="1"/>
  <c r="A90" i="1"/>
  <c r="U89" i="1"/>
  <c r="R89" i="1"/>
  <c r="S89" i="1" s="1"/>
  <c r="G89" i="1" s="1"/>
  <c r="A89" i="1"/>
  <c r="U88" i="1"/>
  <c r="R88" i="1"/>
  <c r="A88" i="1"/>
  <c r="U87" i="1"/>
  <c r="R87" i="1"/>
  <c r="G87" i="1"/>
  <c r="A87" i="1"/>
  <c r="U86" i="1"/>
  <c r="G86" i="1" s="1"/>
  <c r="R86" i="1"/>
  <c r="S86" i="1" s="1"/>
  <c r="A86" i="1"/>
  <c r="U85" i="1"/>
  <c r="R85" i="1"/>
  <c r="S85" i="1" s="1"/>
  <c r="A85" i="1"/>
  <c r="U84" i="1"/>
  <c r="R84" i="1"/>
  <c r="S84" i="1" s="1"/>
  <c r="G84" i="1" s="1"/>
  <c r="A84" i="1"/>
  <c r="U83" i="1"/>
  <c r="R83" i="1"/>
  <c r="S83" i="1" s="1"/>
  <c r="A83" i="1"/>
  <c r="U82" i="1"/>
  <c r="R82" i="1"/>
  <c r="A82" i="1"/>
  <c r="U81" i="1"/>
  <c r="R81" i="1"/>
  <c r="A81" i="1"/>
  <c r="U80" i="1"/>
  <c r="R80" i="1"/>
  <c r="A80" i="1"/>
  <c r="U79" i="1"/>
  <c r="R79" i="1"/>
  <c r="S79" i="1" s="1"/>
  <c r="G79" i="1" s="1"/>
  <c r="A79" i="1"/>
  <c r="U78" i="1"/>
  <c r="R78" i="1"/>
  <c r="S78" i="1" s="1"/>
  <c r="A78" i="1"/>
  <c r="U77" i="1"/>
  <c r="R77" i="1"/>
  <c r="S77" i="1" s="1"/>
  <c r="A77" i="1"/>
  <c r="U76" i="1"/>
  <c r="R76" i="1"/>
  <c r="S76" i="1" s="1"/>
  <c r="A76" i="1"/>
  <c r="U75" i="1"/>
  <c r="R75" i="1"/>
  <c r="S75" i="1" s="1"/>
  <c r="A75" i="1"/>
  <c r="U74" i="1"/>
  <c r="R74" i="1"/>
  <c r="S74" i="1" s="1"/>
  <c r="A74" i="1"/>
  <c r="U73" i="1"/>
  <c r="R73" i="1"/>
  <c r="S73" i="1" s="1"/>
  <c r="G73" i="1" s="1"/>
  <c r="A73" i="1"/>
  <c r="U72" i="1"/>
  <c r="R72" i="1"/>
  <c r="S72" i="1" s="1"/>
  <c r="G72" i="1" s="1"/>
  <c r="A72" i="1"/>
  <c r="U71" i="1"/>
  <c r="R71" i="1"/>
  <c r="S71" i="1" s="1"/>
  <c r="G71" i="1" s="1"/>
  <c r="A71" i="1"/>
  <c r="U70" i="1"/>
  <c r="R70" i="1"/>
  <c r="A70" i="1"/>
  <c r="U69" i="1"/>
  <c r="R69" i="1"/>
  <c r="S69" i="1" s="1"/>
  <c r="A69" i="1"/>
  <c r="U68" i="1"/>
  <c r="R68" i="1"/>
  <c r="S68" i="1" s="1"/>
  <c r="A68" i="1"/>
  <c r="U67" i="1"/>
  <c r="R67" i="1"/>
  <c r="S67" i="1" s="1"/>
  <c r="A67" i="1"/>
  <c r="U66" i="1"/>
  <c r="R66" i="1"/>
  <c r="A66" i="1"/>
  <c r="U65" i="1"/>
  <c r="R65" i="1"/>
  <c r="S65" i="1" s="1"/>
  <c r="G65" i="1" s="1"/>
  <c r="A65" i="1"/>
  <c r="U64" i="1"/>
  <c r="R64" i="1"/>
  <c r="S64" i="1" s="1"/>
  <c r="A64" i="1"/>
  <c r="U63" i="1"/>
  <c r="R63" i="1"/>
  <c r="S63" i="1" s="1"/>
  <c r="A63" i="1"/>
  <c r="U62" i="1"/>
  <c r="R62" i="1"/>
  <c r="S62" i="1" s="1"/>
  <c r="G62" i="1" s="1"/>
  <c r="A62" i="1"/>
  <c r="U61" i="1"/>
  <c r="R61" i="1"/>
  <c r="A61" i="1"/>
  <c r="U60" i="1"/>
  <c r="R60" i="1"/>
  <c r="S60" i="1" s="1"/>
  <c r="A60" i="1"/>
  <c r="U59" i="1"/>
  <c r="R59" i="1"/>
  <c r="S59" i="1" s="1"/>
  <c r="G59" i="1" s="1"/>
  <c r="A59" i="1"/>
  <c r="U58" i="1"/>
  <c r="R58" i="1"/>
  <c r="S58" i="1" s="1"/>
  <c r="G58" i="1" s="1"/>
  <c r="X58" i="1" s="1"/>
  <c r="Y58" i="1" s="1"/>
  <c r="Z58" i="1" s="1"/>
  <c r="A58" i="1"/>
  <c r="U57" i="1"/>
  <c r="R57" i="1"/>
  <c r="A57" i="1"/>
  <c r="U56" i="1"/>
  <c r="R56" i="1"/>
  <c r="S56" i="1" s="1"/>
  <c r="A56" i="1"/>
  <c r="U55" i="1"/>
  <c r="R55" i="1"/>
  <c r="S55" i="1" s="1"/>
  <c r="G55" i="1" s="1"/>
  <c r="A55" i="1"/>
  <c r="U54" i="1"/>
  <c r="G54" i="1" s="1"/>
  <c r="AB54" i="1" s="1"/>
  <c r="R54" i="1"/>
  <c r="S54" i="1" s="1"/>
  <c r="A54" i="1"/>
  <c r="U53" i="1"/>
  <c r="R53" i="1"/>
  <c r="S53" i="1" s="1"/>
  <c r="A53" i="1"/>
  <c r="U51" i="1"/>
  <c r="R51" i="1"/>
  <c r="S51" i="1" s="1"/>
  <c r="A51" i="1"/>
  <c r="U50" i="1"/>
  <c r="R50" i="1"/>
  <c r="S50" i="1" s="1"/>
  <c r="A50" i="1"/>
  <c r="U49" i="1"/>
  <c r="R49" i="1"/>
  <c r="A49" i="1"/>
  <c r="U48" i="1"/>
  <c r="R48" i="1"/>
  <c r="S48" i="1" s="1"/>
  <c r="G48" i="1" s="1"/>
  <c r="A48" i="1"/>
  <c r="U47" i="1"/>
  <c r="R47" i="1"/>
  <c r="S47" i="1" s="1"/>
  <c r="A47" i="1"/>
  <c r="U46" i="1"/>
  <c r="R46" i="1"/>
  <c r="S46" i="1" s="1"/>
  <c r="A46" i="1"/>
  <c r="U45" i="1"/>
  <c r="R45" i="1"/>
  <c r="A45" i="1"/>
  <c r="U44" i="1"/>
  <c r="R44" i="1"/>
  <c r="G44" i="1" s="1"/>
  <c r="AC44" i="1" s="1"/>
  <c r="A44" i="1"/>
  <c r="U43" i="1"/>
  <c r="R43" i="1"/>
  <c r="G43" i="1" s="1"/>
  <c r="A43" i="1"/>
  <c r="U42" i="1"/>
  <c r="R42" i="1"/>
  <c r="A42" i="1"/>
  <c r="U41" i="1"/>
  <c r="R41" i="1"/>
  <c r="G41" i="1"/>
  <c r="A41" i="1"/>
  <c r="U40" i="1"/>
  <c r="R40" i="1"/>
  <c r="S40" i="1" s="1"/>
  <c r="G40" i="1"/>
  <c r="A40" i="1"/>
  <c r="U39" i="1"/>
  <c r="R39" i="1"/>
  <c r="S39" i="1" s="1"/>
  <c r="A39" i="1"/>
  <c r="U38" i="1"/>
  <c r="S38" i="1"/>
  <c r="R38" i="1"/>
  <c r="A38" i="1"/>
  <c r="U37" i="1"/>
  <c r="R37" i="1"/>
  <c r="A37" i="1"/>
  <c r="U36" i="1"/>
  <c r="R36" i="1"/>
  <c r="S36" i="1" s="1"/>
  <c r="G36" i="1" s="1"/>
  <c r="A36" i="1"/>
  <c r="U35" i="1"/>
  <c r="R35" i="1"/>
  <c r="A35" i="1"/>
  <c r="U34" i="1"/>
  <c r="R34" i="1"/>
  <c r="A34" i="1"/>
  <c r="U33" i="1"/>
  <c r="R33" i="1"/>
  <c r="S33" i="1" s="1"/>
  <c r="G33" i="1"/>
  <c r="A33" i="1"/>
  <c r="U32" i="1"/>
  <c r="R32" i="1"/>
  <c r="S32" i="1" s="1"/>
  <c r="A32" i="1"/>
  <c r="U31" i="1"/>
  <c r="S31" i="1"/>
  <c r="R31" i="1"/>
  <c r="A31" i="1"/>
  <c r="U30" i="1"/>
  <c r="R30" i="1"/>
  <c r="S30" i="1" s="1"/>
  <c r="A30" i="1"/>
  <c r="U29" i="1"/>
  <c r="R29" i="1"/>
  <c r="A29" i="1"/>
  <c r="U28" i="1"/>
  <c r="R28" i="1"/>
  <c r="S28" i="1" s="1"/>
  <c r="A28" i="1"/>
  <c r="U27" i="1"/>
  <c r="R27" i="1"/>
  <c r="S27" i="1" s="1"/>
  <c r="A27" i="1"/>
  <c r="U26" i="1"/>
  <c r="R26" i="1"/>
  <c r="A26" i="1"/>
  <c r="U25" i="1"/>
  <c r="R25" i="1"/>
  <c r="S25" i="1" s="1"/>
  <c r="A25" i="1"/>
  <c r="U24" i="1"/>
  <c r="R24" i="1"/>
  <c r="A24" i="1"/>
  <c r="U23" i="1"/>
  <c r="R23" i="1"/>
  <c r="S23" i="1" s="1"/>
  <c r="A23" i="1"/>
  <c r="U22" i="1"/>
  <c r="R22" i="1"/>
  <c r="S22" i="1" s="1"/>
  <c r="G22" i="1" s="1"/>
  <c r="A22" i="1"/>
  <c r="U21" i="1"/>
  <c r="R21" i="1"/>
  <c r="A21" i="1"/>
  <c r="U20" i="1"/>
  <c r="R20" i="1"/>
  <c r="S20" i="1" s="1"/>
  <c r="A20" i="1"/>
  <c r="U19" i="1"/>
  <c r="R19" i="1"/>
  <c r="S19" i="1" s="1"/>
  <c r="A19" i="1"/>
  <c r="U18" i="1"/>
  <c r="G18" i="1" s="1"/>
  <c r="AD18" i="1" s="1"/>
  <c r="R18" i="1"/>
  <c r="S18" i="1" s="1"/>
  <c r="A18" i="1"/>
  <c r="U17" i="1"/>
  <c r="R17" i="1"/>
  <c r="A17" i="1"/>
  <c r="U16" i="1"/>
  <c r="R16" i="1"/>
  <c r="A16" i="1"/>
  <c r="U15" i="1"/>
  <c r="R15" i="1"/>
  <c r="S15" i="1" s="1"/>
  <c r="A15" i="1"/>
  <c r="U14" i="1"/>
  <c r="R14" i="1"/>
  <c r="A14" i="1"/>
  <c r="U13" i="1"/>
  <c r="R13" i="1"/>
  <c r="A13" i="1"/>
  <c r="U12" i="1"/>
  <c r="S12" i="1"/>
  <c r="R12" i="1"/>
  <c r="A12" i="1"/>
  <c r="U11" i="1"/>
  <c r="R11" i="1"/>
  <c r="S11" i="1" s="1"/>
  <c r="A11" i="1"/>
  <c r="U10" i="1"/>
  <c r="R10" i="1"/>
  <c r="S10" i="1" s="1"/>
  <c r="A10" i="1"/>
  <c r="U9" i="1"/>
  <c r="R9" i="1"/>
  <c r="S9" i="1" s="1"/>
  <c r="A9" i="1"/>
  <c r="U8" i="1"/>
  <c r="R8" i="1"/>
  <c r="S8" i="1" s="1"/>
  <c r="G8" i="1"/>
  <c r="X8" i="1" s="1"/>
  <c r="Y8" i="1" s="1"/>
  <c r="Z8" i="1" s="1"/>
  <c r="A8" i="1"/>
  <c r="U7" i="1"/>
  <c r="R7" i="1"/>
  <c r="S7" i="1" s="1"/>
  <c r="A7" i="1"/>
  <c r="U6" i="1"/>
  <c r="R6" i="1"/>
  <c r="A6" i="1"/>
  <c r="U5" i="1"/>
  <c r="R5" i="1"/>
  <c r="S5" i="1" s="1"/>
  <c r="A5" i="1"/>
  <c r="A14" i="2"/>
  <c r="A13" i="2"/>
  <c r="A12" i="2"/>
  <c r="A11" i="2"/>
  <c r="A10" i="2"/>
  <c r="X368" i="1" l="1"/>
  <c r="Y368" i="1" s="1"/>
  <c r="Z368" i="1" s="1"/>
  <c r="AD368" i="1"/>
  <c r="AC368" i="1"/>
  <c r="AB368" i="1"/>
  <c r="AB164" i="1"/>
  <c r="AC164" i="1"/>
  <c r="AD164" i="1"/>
  <c r="X367" i="1"/>
  <c r="Y367" i="1" s="1"/>
  <c r="Z367" i="1" s="1"/>
  <c r="G225" i="1"/>
  <c r="AB225" i="1" s="1"/>
  <c r="AC121" i="1"/>
  <c r="G157" i="1"/>
  <c r="X157" i="1" s="1"/>
  <c r="Y157" i="1" s="1"/>
  <c r="Z157" i="1" s="1"/>
  <c r="AD198" i="1"/>
  <c r="X324" i="1"/>
  <c r="Y324" i="1" s="1"/>
  <c r="Z324" i="1" s="1"/>
  <c r="AB367" i="1"/>
  <c r="G147" i="1"/>
  <c r="X147" i="1" s="1"/>
  <c r="Y147" i="1" s="1"/>
  <c r="Z147" i="1" s="1"/>
  <c r="G5" i="1"/>
  <c r="AC5" i="1" s="1"/>
  <c r="G32" i="1"/>
  <c r="G42" i="1"/>
  <c r="X42" i="1" s="1"/>
  <c r="Y42" i="1" s="1"/>
  <c r="Z42" i="1" s="1"/>
  <c r="G63" i="1"/>
  <c r="AB63" i="1" s="1"/>
  <c r="G88" i="1"/>
  <c r="AB88" i="1" s="1"/>
  <c r="G96" i="1"/>
  <c r="G103" i="1"/>
  <c r="G113" i="1"/>
  <c r="AD121" i="1"/>
  <c r="G140" i="1"/>
  <c r="G145" i="1"/>
  <c r="G151" i="1"/>
  <c r="AB151" i="1" s="1"/>
  <c r="G202" i="1"/>
  <c r="AD202" i="1" s="1"/>
  <c r="G208" i="1"/>
  <c r="AC208" i="1" s="1"/>
  <c r="G262" i="1"/>
  <c r="AD262" i="1" s="1"/>
  <c r="G284" i="1"/>
  <c r="G307" i="1"/>
  <c r="G310" i="1"/>
  <c r="G334" i="1"/>
  <c r="AC367" i="1"/>
  <c r="G369" i="1"/>
  <c r="AC369" i="1" s="1"/>
  <c r="G397" i="1"/>
  <c r="X397" i="1" s="1"/>
  <c r="Y397" i="1" s="1"/>
  <c r="Z397" i="1" s="1"/>
  <c r="AD403" i="1"/>
  <c r="G410" i="1"/>
  <c r="AC410" i="1" s="1"/>
  <c r="AB121" i="1"/>
  <c r="G7" i="1"/>
  <c r="AB198" i="1"/>
  <c r="G175" i="1"/>
  <c r="G186" i="1"/>
  <c r="AD186" i="1" s="1"/>
  <c r="AC198" i="1"/>
  <c r="AB90" i="1"/>
  <c r="G46" i="1"/>
  <c r="X46" i="1" s="1"/>
  <c r="Y46" i="1" s="1"/>
  <c r="Z46" i="1" s="1"/>
  <c r="AC90" i="1"/>
  <c r="G64" i="1"/>
  <c r="AB64" i="1" s="1"/>
  <c r="G67" i="1"/>
  <c r="AB67" i="1" s="1"/>
  <c r="G83" i="1"/>
  <c r="G100" i="1"/>
  <c r="G117" i="1"/>
  <c r="G125" i="1"/>
  <c r="G171" i="1"/>
  <c r="G206" i="1"/>
  <c r="AD206" i="1" s="1"/>
  <c r="G215" i="1"/>
  <c r="G260" i="1"/>
  <c r="AC260" i="1" s="1"/>
  <c r="G288" i="1"/>
  <c r="AD288" i="1" s="1"/>
  <c r="G305" i="1"/>
  <c r="AD305" i="1" s="1"/>
  <c r="G308" i="1"/>
  <c r="G323" i="1"/>
  <c r="G328" i="1"/>
  <c r="G341" i="1"/>
  <c r="G347" i="1"/>
  <c r="AD347" i="1" s="1"/>
  <c r="AB385" i="1"/>
  <c r="G404" i="1"/>
  <c r="G28" i="1"/>
  <c r="AC28" i="1" s="1"/>
  <c r="G31" i="1"/>
  <c r="G77" i="1"/>
  <c r="X77" i="1" s="1"/>
  <c r="Y77" i="1" s="1"/>
  <c r="Z77" i="1" s="1"/>
  <c r="G94" i="1"/>
  <c r="G139" i="1"/>
  <c r="G185" i="1"/>
  <c r="AC185" i="1" s="1"/>
  <c r="G285" i="1"/>
  <c r="G295" i="1"/>
  <c r="AC295" i="1" s="1"/>
  <c r="AB129" i="1"/>
  <c r="AD129" i="1"/>
  <c r="X156" i="1"/>
  <c r="Y156" i="1" s="1"/>
  <c r="Z156" i="1" s="1"/>
  <c r="AD156" i="1"/>
  <c r="AC156" i="1"/>
  <c r="AB156" i="1"/>
  <c r="X248" i="1"/>
  <c r="Y248" i="1" s="1"/>
  <c r="Z248" i="1" s="1"/>
  <c r="AC248" i="1"/>
  <c r="AB248" i="1"/>
  <c r="AD248" i="1"/>
  <c r="AD231" i="1"/>
  <c r="AC231" i="1"/>
  <c r="AB231" i="1"/>
  <c r="X231" i="1"/>
  <c r="Y231" i="1" s="1"/>
  <c r="Z231" i="1" s="1"/>
  <c r="X286" i="1"/>
  <c r="Y286" i="1" s="1"/>
  <c r="Z286" i="1" s="1"/>
  <c r="AD286" i="1"/>
  <c r="AC286" i="1"/>
  <c r="AB286" i="1"/>
  <c r="AD371" i="1"/>
  <c r="AC371" i="1"/>
  <c r="AB371" i="1"/>
  <c r="X371" i="1"/>
  <c r="Y371" i="1" s="1"/>
  <c r="Z371" i="1" s="1"/>
  <c r="AD208" i="1"/>
  <c r="AB208" i="1"/>
  <c r="X170" i="1"/>
  <c r="Y170" i="1" s="1"/>
  <c r="Z170" i="1" s="1"/>
  <c r="AD170" i="1"/>
  <c r="AC170" i="1"/>
  <c r="AB170" i="1"/>
  <c r="X207" i="1"/>
  <c r="Y207" i="1" s="1"/>
  <c r="Z207" i="1" s="1"/>
  <c r="AC207" i="1"/>
  <c r="AB207" i="1"/>
  <c r="AB33" i="1"/>
  <c r="X33" i="1"/>
  <c r="Y33" i="1" s="1"/>
  <c r="Z33" i="1" s="1"/>
  <c r="S391" i="1"/>
  <c r="G391" i="1"/>
  <c r="X391" i="1" s="1"/>
  <c r="Y391" i="1" s="1"/>
  <c r="Z391" i="1" s="1"/>
  <c r="S57" i="1"/>
  <c r="G57" i="1"/>
  <c r="AD57" i="1" s="1"/>
  <c r="AB346" i="1"/>
  <c r="AC346" i="1"/>
  <c r="X346" i="1"/>
  <c r="Y346" i="1" s="1"/>
  <c r="Z346" i="1" s="1"/>
  <c r="AC405" i="1"/>
  <c r="X18" i="1"/>
  <c r="Y18" i="1" s="1"/>
  <c r="Z18" i="1" s="1"/>
  <c r="X282" i="1"/>
  <c r="Y282" i="1" s="1"/>
  <c r="Z282" i="1" s="1"/>
  <c r="AC282" i="1"/>
  <c r="AD282" i="1"/>
  <c r="AB282" i="1"/>
  <c r="AB18" i="1"/>
  <c r="G34" i="1"/>
  <c r="S45" i="1"/>
  <c r="G45" i="1"/>
  <c r="S61" i="1"/>
  <c r="G61" i="1" s="1"/>
  <c r="S134" i="1"/>
  <c r="G134" i="1"/>
  <c r="G9" i="1"/>
  <c r="AC9" i="1" s="1"/>
  <c r="AC18" i="1"/>
  <c r="S34" i="1"/>
  <c r="G47" i="1"/>
  <c r="AC47" i="1" s="1"/>
  <c r="G50" i="1"/>
  <c r="AC50" i="1" s="1"/>
  <c r="G56" i="1"/>
  <c r="AD56" i="1" s="1"/>
  <c r="G75" i="1"/>
  <c r="X75" i="1" s="1"/>
  <c r="Y75" i="1" s="1"/>
  <c r="Z75" i="1" s="1"/>
  <c r="G78" i="1"/>
  <c r="AC78" i="1" s="1"/>
  <c r="X90" i="1"/>
  <c r="Y90" i="1" s="1"/>
  <c r="Z90" i="1" s="1"/>
  <c r="G167" i="1"/>
  <c r="AD167" i="1" s="1"/>
  <c r="G188" i="1"/>
  <c r="G214" i="1"/>
  <c r="AC214" i="1" s="1"/>
  <c r="G217" i="1"/>
  <c r="AB217" i="1" s="1"/>
  <c r="G230" i="1"/>
  <c r="G412" i="1"/>
  <c r="AD412" i="1" s="1"/>
  <c r="AB113" i="1"/>
  <c r="X113" i="1"/>
  <c r="Y113" i="1" s="1"/>
  <c r="Z113" i="1" s="1"/>
  <c r="G19" i="1"/>
  <c r="AB19" i="1" s="1"/>
  <c r="AD157" i="1"/>
  <c r="S309" i="1"/>
  <c r="G309" i="1"/>
  <c r="X309" i="1" s="1"/>
  <c r="AC312" i="1"/>
  <c r="AD33" i="1"/>
  <c r="AB326" i="1"/>
  <c r="AD405" i="1"/>
  <c r="S408" i="1"/>
  <c r="G408" i="1" s="1"/>
  <c r="G265" i="1"/>
  <c r="AB265" i="1" s="1"/>
  <c r="AD310" i="1"/>
  <c r="X310" i="1"/>
  <c r="S314" i="1"/>
  <c r="G314" i="1"/>
  <c r="X314" i="1" s="1"/>
  <c r="Y314" i="1" s="1"/>
  <c r="S24" i="1"/>
  <c r="G24" i="1" s="1"/>
  <c r="S340" i="1"/>
  <c r="G340" i="1"/>
  <c r="S394" i="1"/>
  <c r="G394" i="1" s="1"/>
  <c r="S82" i="1"/>
  <c r="G82" i="1" s="1"/>
  <c r="AB82" i="1" s="1"/>
  <c r="AB157" i="1"/>
  <c r="S163" i="1"/>
  <c r="G163" i="1" s="1"/>
  <c r="AD207" i="1"/>
  <c r="AB310" i="1"/>
  <c r="AD370" i="1"/>
  <c r="AC370" i="1"/>
  <c r="AB370" i="1"/>
  <c r="G15" i="1"/>
  <c r="X15" i="1" s="1"/>
  <c r="Y15" i="1" s="1"/>
  <c r="Z15" i="1" s="1"/>
  <c r="AC33" i="1"/>
  <c r="AC113" i="1"/>
  <c r="AC310" i="1"/>
  <c r="AD113" i="1"/>
  <c r="AB148" i="1"/>
  <c r="G253" i="1"/>
  <c r="AD253" i="1" s="1"/>
  <c r="G53" i="1"/>
  <c r="AB53" i="1" s="1"/>
  <c r="X98" i="1"/>
  <c r="Y98" i="1" s="1"/>
  <c r="Z98" i="1" s="1"/>
  <c r="AD98" i="1"/>
  <c r="AB98" i="1"/>
  <c r="AC98" i="1"/>
  <c r="S253" i="1"/>
  <c r="S267" i="1"/>
  <c r="G267" i="1" s="1"/>
  <c r="AC267" i="1" s="1"/>
  <c r="G298" i="1"/>
  <c r="X298" i="1" s="1"/>
  <c r="AD341" i="1"/>
  <c r="AC341" i="1"/>
  <c r="S365" i="1"/>
  <c r="G365" i="1" s="1"/>
  <c r="X370" i="1"/>
  <c r="Y370" i="1" s="1"/>
  <c r="Z370" i="1" s="1"/>
  <c r="S26" i="1"/>
  <c r="G26" i="1"/>
  <c r="AC147" i="1"/>
  <c r="AD147" i="1"/>
  <c r="AB147" i="1"/>
  <c r="S13" i="1"/>
  <c r="G13" i="1" s="1"/>
  <c r="G27" i="1"/>
  <c r="AC27" i="1" s="1"/>
  <c r="AC157" i="1"/>
  <c r="AB405" i="1"/>
  <c r="G104" i="1"/>
  <c r="X104" i="1" s="1"/>
  <c r="Y104" i="1" s="1"/>
  <c r="Z104" i="1" s="1"/>
  <c r="G39" i="1"/>
  <c r="S298" i="1"/>
  <c r="AD346" i="1"/>
  <c r="S384" i="1"/>
  <c r="G384" i="1" s="1"/>
  <c r="G406" i="1"/>
  <c r="D4" i="2"/>
  <c r="E9" i="2" s="1"/>
  <c r="G204" i="1"/>
  <c r="AB204" i="1" s="1"/>
  <c r="G150" i="1"/>
  <c r="X150" i="1" s="1"/>
  <c r="Y150" i="1" s="1"/>
  <c r="Z150" i="1" s="1"/>
  <c r="G152" i="1"/>
  <c r="X152" i="1" s="1"/>
  <c r="Y152" i="1" s="1"/>
  <c r="Z152" i="1" s="1"/>
  <c r="AD173" i="1"/>
  <c r="G195" i="1"/>
  <c r="G118" i="1"/>
  <c r="AB118" i="1" s="1"/>
  <c r="G241" i="1"/>
  <c r="AC83" i="1"/>
  <c r="G97" i="1"/>
  <c r="X97" i="1" s="1"/>
  <c r="Y97" i="1" s="1"/>
  <c r="Z97" i="1" s="1"/>
  <c r="G128" i="1"/>
  <c r="AD128" i="1" s="1"/>
  <c r="S150" i="1"/>
  <c r="G354" i="1"/>
  <c r="G372" i="1"/>
  <c r="AB372" i="1" s="1"/>
  <c r="G383" i="1"/>
  <c r="AB383" i="1" s="1"/>
  <c r="G388" i="1"/>
  <c r="A4" i="2"/>
  <c r="D9" i="2" s="1"/>
  <c r="G10" i="2"/>
  <c r="G14" i="2"/>
  <c r="G12" i="2"/>
  <c r="AD36" i="1"/>
  <c r="AC36" i="1"/>
  <c r="AB36" i="1"/>
  <c r="X36" i="1"/>
  <c r="Y36" i="1" s="1"/>
  <c r="Z36" i="1" s="1"/>
  <c r="AB300" i="1"/>
  <c r="X300" i="1"/>
  <c r="AC300" i="1"/>
  <c r="AD300" i="1"/>
  <c r="AD27" i="1"/>
  <c r="X27" i="1"/>
  <c r="Y27" i="1" s="1"/>
  <c r="Z27" i="1" s="1"/>
  <c r="S81" i="1"/>
  <c r="G81" i="1" s="1"/>
  <c r="S119" i="1"/>
  <c r="G119" i="1" s="1"/>
  <c r="AD46" i="1"/>
  <c r="X123" i="1"/>
  <c r="Y123" i="1" s="1"/>
  <c r="Z123" i="1" s="1"/>
  <c r="AC123" i="1"/>
  <c r="AB123" i="1"/>
  <c r="AD123" i="1"/>
  <c r="S357" i="1"/>
  <c r="G357" i="1" s="1"/>
  <c r="S361" i="1"/>
  <c r="G361" i="1" s="1"/>
  <c r="S14" i="1"/>
  <c r="G14" i="1"/>
  <c r="X40" i="1"/>
  <c r="Y40" i="1" s="1"/>
  <c r="Z40" i="1" s="1"/>
  <c r="AC40" i="1"/>
  <c r="AB40" i="1"/>
  <c r="AD40" i="1"/>
  <c r="AC72" i="1"/>
  <c r="AB72" i="1"/>
  <c r="AD72" i="1"/>
  <c r="X72" i="1"/>
  <c r="Y72" i="1" s="1"/>
  <c r="Z72" i="1" s="1"/>
  <c r="AD89" i="1"/>
  <c r="AC89" i="1"/>
  <c r="AB89" i="1"/>
  <c r="X89" i="1"/>
  <c r="Y89" i="1" s="1"/>
  <c r="Z89" i="1" s="1"/>
  <c r="AC134" i="1"/>
  <c r="AB134" i="1"/>
  <c r="AD134" i="1"/>
  <c r="X134" i="1"/>
  <c r="Y134" i="1" s="1"/>
  <c r="Z134" i="1" s="1"/>
  <c r="G216" i="1"/>
  <c r="G218" i="1"/>
  <c r="X86" i="1"/>
  <c r="Y86" i="1" s="1"/>
  <c r="Z86" i="1" s="1"/>
  <c r="AD86" i="1"/>
  <c r="AC86" i="1"/>
  <c r="AB86" i="1"/>
  <c r="AB214" i="1"/>
  <c r="X214" i="1"/>
  <c r="Y214" i="1" s="1"/>
  <c r="Z214" i="1" s="1"/>
  <c r="AD214" i="1"/>
  <c r="AD162" i="1"/>
  <c r="AC162" i="1"/>
  <c r="AB162" i="1"/>
  <c r="X162" i="1"/>
  <c r="Y162" i="1" s="1"/>
  <c r="Z162" i="1" s="1"/>
  <c r="S203" i="1"/>
  <c r="G203" i="1" s="1"/>
  <c r="AC15" i="1"/>
  <c r="AB15" i="1"/>
  <c r="AD127" i="1"/>
  <c r="AC127" i="1"/>
  <c r="AB127" i="1"/>
  <c r="X127" i="1"/>
  <c r="Y127" i="1" s="1"/>
  <c r="Z127" i="1" s="1"/>
  <c r="X143" i="1"/>
  <c r="Y143" i="1" s="1"/>
  <c r="Z143" i="1" s="1"/>
  <c r="AD143" i="1"/>
  <c r="AC143" i="1"/>
  <c r="AB143" i="1"/>
  <c r="X5" i="1"/>
  <c r="Y5" i="1" s="1"/>
  <c r="Z5" i="1" s="1"/>
  <c r="S16" i="1"/>
  <c r="G16" i="1" s="1"/>
  <c r="AD22" i="1"/>
  <c r="AC22" i="1"/>
  <c r="AB22" i="1"/>
  <c r="X22" i="1"/>
  <c r="Y22" i="1" s="1"/>
  <c r="Z22" i="1" s="1"/>
  <c r="S95" i="1"/>
  <c r="G95" i="1"/>
  <c r="G11" i="1"/>
  <c r="G23" i="1"/>
  <c r="X65" i="1"/>
  <c r="Y65" i="1" s="1"/>
  <c r="Z65" i="1" s="1"/>
  <c r="AD65" i="1"/>
  <c r="AB65" i="1"/>
  <c r="AC65" i="1"/>
  <c r="AB75" i="1"/>
  <c r="AD105" i="1"/>
  <c r="AC105" i="1"/>
  <c r="AB105" i="1"/>
  <c r="AD145" i="1"/>
  <c r="AC145" i="1"/>
  <c r="AB145" i="1"/>
  <c r="X145" i="1"/>
  <c r="Y145" i="1" s="1"/>
  <c r="Z145" i="1" s="1"/>
  <c r="S154" i="1"/>
  <c r="G154" i="1"/>
  <c r="AD298" i="1"/>
  <c r="AC298" i="1"/>
  <c r="AD8" i="1"/>
  <c r="AC8" i="1"/>
  <c r="AB8" i="1"/>
  <c r="AD48" i="1"/>
  <c r="X48" i="1"/>
  <c r="Y48" i="1" s="1"/>
  <c r="Z48" i="1" s="1"/>
  <c r="AC48" i="1"/>
  <c r="X55" i="1"/>
  <c r="Y55" i="1" s="1"/>
  <c r="Z55" i="1" s="1"/>
  <c r="AB55" i="1"/>
  <c r="AC55" i="1"/>
  <c r="AD59" i="1"/>
  <c r="AC59" i="1"/>
  <c r="AB59" i="1"/>
  <c r="X59" i="1"/>
  <c r="Y59" i="1" s="1"/>
  <c r="Z59" i="1" s="1"/>
  <c r="AB73" i="1"/>
  <c r="AD73" i="1"/>
  <c r="AC73" i="1"/>
  <c r="AD103" i="1"/>
  <c r="AC103" i="1"/>
  <c r="AB103" i="1"/>
  <c r="X105" i="1"/>
  <c r="Y105" i="1" s="1"/>
  <c r="Z105" i="1" s="1"/>
  <c r="X165" i="1"/>
  <c r="Y165" i="1" s="1"/>
  <c r="Z165" i="1" s="1"/>
  <c r="AD165" i="1"/>
  <c r="AC165" i="1"/>
  <c r="AB165" i="1"/>
  <c r="AD291" i="1"/>
  <c r="AC291" i="1"/>
  <c r="AB291" i="1"/>
  <c r="X291" i="1"/>
  <c r="Y291" i="1" s="1"/>
  <c r="Z291" i="1" s="1"/>
  <c r="S6" i="1"/>
  <c r="G6" i="1" s="1"/>
  <c r="S35" i="1"/>
  <c r="G35" i="1" s="1"/>
  <c r="S37" i="1"/>
  <c r="G37" i="1" s="1"/>
  <c r="AC75" i="1"/>
  <c r="X100" i="1"/>
  <c r="Y100" i="1" s="1"/>
  <c r="Z100" i="1" s="1"/>
  <c r="AD100" i="1"/>
  <c r="AC100" i="1"/>
  <c r="S110" i="1"/>
  <c r="G110" i="1" s="1"/>
  <c r="AD117" i="1"/>
  <c r="AC117" i="1"/>
  <c r="AB117" i="1"/>
  <c r="X117" i="1"/>
  <c r="Y117" i="1" s="1"/>
  <c r="Z117" i="1" s="1"/>
  <c r="S131" i="1"/>
  <c r="G131" i="1" s="1"/>
  <c r="S141" i="1"/>
  <c r="G141" i="1" s="1"/>
  <c r="X172" i="1"/>
  <c r="Y172" i="1" s="1"/>
  <c r="Z172" i="1" s="1"/>
  <c r="AB172" i="1"/>
  <c r="AD172" i="1"/>
  <c r="AC172" i="1"/>
  <c r="AD179" i="1"/>
  <c r="AC179" i="1"/>
  <c r="AB179" i="1"/>
  <c r="X179" i="1"/>
  <c r="Y179" i="1" s="1"/>
  <c r="Z179" i="1" s="1"/>
  <c r="S335" i="1"/>
  <c r="G335" i="1" s="1"/>
  <c r="G10" i="1"/>
  <c r="X41" i="1"/>
  <c r="Y41" i="1" s="1"/>
  <c r="Z41" i="1" s="1"/>
  <c r="AB41" i="1"/>
  <c r="AD41" i="1"/>
  <c r="X43" i="1"/>
  <c r="Y43" i="1" s="1"/>
  <c r="Z43" i="1" s="1"/>
  <c r="AD43" i="1"/>
  <c r="AC43" i="1"/>
  <c r="AB43" i="1"/>
  <c r="AD55" i="1"/>
  <c r="X73" i="1"/>
  <c r="Y73" i="1" s="1"/>
  <c r="Z73" i="1" s="1"/>
  <c r="AD75" i="1"/>
  <c r="S80" i="1"/>
  <c r="G80" i="1" s="1"/>
  <c r="X103" i="1"/>
  <c r="Y103" i="1" s="1"/>
  <c r="Z103" i="1" s="1"/>
  <c r="X168" i="1"/>
  <c r="Y168" i="1" s="1"/>
  <c r="Z168" i="1" s="1"/>
  <c r="AD168" i="1"/>
  <c r="AC168" i="1"/>
  <c r="AB168" i="1"/>
  <c r="AC330" i="1"/>
  <c r="AD330" i="1"/>
  <c r="AB330" i="1"/>
  <c r="X330" i="1"/>
  <c r="Y330" i="1" s="1"/>
  <c r="Z330" i="1" s="1"/>
  <c r="AD26" i="1"/>
  <c r="AC26" i="1"/>
  <c r="AB26" i="1"/>
  <c r="X26" i="1"/>
  <c r="Y26" i="1" s="1"/>
  <c r="Z26" i="1" s="1"/>
  <c r="AB48" i="1"/>
  <c r="AD94" i="1"/>
  <c r="AC94" i="1"/>
  <c r="AB94" i="1"/>
  <c r="X94" i="1"/>
  <c r="Y94" i="1" s="1"/>
  <c r="Z94" i="1" s="1"/>
  <c r="AB96" i="1"/>
  <c r="AD96" i="1"/>
  <c r="AC96" i="1"/>
  <c r="X96" i="1"/>
  <c r="Y96" i="1" s="1"/>
  <c r="Z96" i="1" s="1"/>
  <c r="AC150" i="1"/>
  <c r="AB150" i="1"/>
  <c r="X196" i="1"/>
  <c r="Y196" i="1" s="1"/>
  <c r="Z196" i="1" s="1"/>
  <c r="AD196" i="1"/>
  <c r="AB196" i="1"/>
  <c r="AC196" i="1"/>
  <c r="S205" i="1"/>
  <c r="G205" i="1" s="1"/>
  <c r="S220" i="1"/>
  <c r="G220" i="1" s="1"/>
  <c r="S271" i="1"/>
  <c r="G271" i="1"/>
  <c r="AD274" i="1"/>
  <c r="AC274" i="1"/>
  <c r="AB274" i="1"/>
  <c r="X274" i="1"/>
  <c r="Y274" i="1" s="1"/>
  <c r="Z274" i="1" s="1"/>
  <c r="G30" i="1"/>
  <c r="G38" i="1"/>
  <c r="X54" i="1"/>
  <c r="Y54" i="1" s="1"/>
  <c r="Z54" i="1" s="1"/>
  <c r="AD54" i="1"/>
  <c r="AC54" i="1"/>
  <c r="AC64" i="1"/>
  <c r="AB100" i="1"/>
  <c r="X169" i="1"/>
  <c r="Y169" i="1" s="1"/>
  <c r="Z169" i="1" s="1"/>
  <c r="AD169" i="1"/>
  <c r="AC169" i="1"/>
  <c r="AB169" i="1"/>
  <c r="S302" i="1"/>
  <c r="G302" i="1" s="1"/>
  <c r="X7" i="1"/>
  <c r="Y7" i="1" s="1"/>
  <c r="Z7" i="1" s="1"/>
  <c r="AD7" i="1"/>
  <c r="AC7" i="1"/>
  <c r="AB7" i="1"/>
  <c r="G12" i="1"/>
  <c r="S17" i="1"/>
  <c r="G17" i="1" s="1"/>
  <c r="AC41" i="1"/>
  <c r="X44" i="1"/>
  <c r="Y44" i="1" s="1"/>
  <c r="Z44" i="1" s="1"/>
  <c r="AD44" i="1"/>
  <c r="AB44" i="1"/>
  <c r="G51" i="1"/>
  <c r="AC62" i="1"/>
  <c r="AB62" i="1"/>
  <c r="AD62" i="1"/>
  <c r="X62" i="1"/>
  <c r="Y62" i="1" s="1"/>
  <c r="Z62" i="1" s="1"/>
  <c r="G85" i="1"/>
  <c r="AD125" i="1"/>
  <c r="X125" i="1"/>
  <c r="Y125" i="1" s="1"/>
  <c r="Z125" i="1" s="1"/>
  <c r="AC125" i="1"/>
  <c r="AB125" i="1"/>
  <c r="AD138" i="1"/>
  <c r="AC138" i="1"/>
  <c r="AB138" i="1"/>
  <c r="X138" i="1"/>
  <c r="Y138" i="1" s="1"/>
  <c r="Z138" i="1" s="1"/>
  <c r="AB269" i="1"/>
  <c r="AC269" i="1"/>
  <c r="AD269" i="1"/>
  <c r="X269" i="1"/>
  <c r="Y269" i="1" s="1"/>
  <c r="Z269" i="1" s="1"/>
  <c r="G74" i="1"/>
  <c r="X84" i="1"/>
  <c r="Y84" i="1" s="1"/>
  <c r="Z84" i="1" s="1"/>
  <c r="AC84" i="1"/>
  <c r="AB84" i="1"/>
  <c r="G120" i="1"/>
  <c r="G155" i="1"/>
  <c r="G182" i="1"/>
  <c r="G194" i="1"/>
  <c r="AD210" i="1"/>
  <c r="X210" i="1"/>
  <c r="Y210" i="1" s="1"/>
  <c r="Z210" i="1" s="1"/>
  <c r="AC210" i="1"/>
  <c r="AB210" i="1"/>
  <c r="AD255" i="1"/>
  <c r="AC255" i="1"/>
  <c r="AB255" i="1"/>
  <c r="X255" i="1"/>
  <c r="Y255" i="1" s="1"/>
  <c r="Z255" i="1" s="1"/>
  <c r="G263" i="1"/>
  <c r="X284" i="1"/>
  <c r="Y284" i="1" s="1"/>
  <c r="Z284" i="1" s="1"/>
  <c r="AD284" i="1"/>
  <c r="AC284" i="1"/>
  <c r="AB284" i="1"/>
  <c r="S344" i="1"/>
  <c r="G344" i="1"/>
  <c r="AB140" i="1"/>
  <c r="AC140" i="1"/>
  <c r="X140" i="1"/>
  <c r="Y140" i="1" s="1"/>
  <c r="Z140" i="1" s="1"/>
  <c r="AD140" i="1"/>
  <c r="AC180" i="1"/>
  <c r="AB180" i="1"/>
  <c r="X180" i="1"/>
  <c r="Y180" i="1" s="1"/>
  <c r="Z180" i="1" s="1"/>
  <c r="AD190" i="1"/>
  <c r="AC190" i="1"/>
  <c r="AB190" i="1"/>
  <c r="X190" i="1"/>
  <c r="Y190" i="1" s="1"/>
  <c r="Z190" i="1" s="1"/>
  <c r="X206" i="1"/>
  <c r="Y206" i="1" s="1"/>
  <c r="Z206" i="1" s="1"/>
  <c r="AC206" i="1"/>
  <c r="AC213" i="1"/>
  <c r="AB213" i="1"/>
  <c r="AD213" i="1"/>
  <c r="X213" i="1"/>
  <c r="X221" i="1"/>
  <c r="Y221" i="1" s="1"/>
  <c r="Z221" i="1" s="1"/>
  <c r="AD221" i="1"/>
  <c r="AD223" i="1"/>
  <c r="X223" i="1"/>
  <c r="Y223" i="1" s="1"/>
  <c r="Z223" i="1" s="1"/>
  <c r="AB223" i="1"/>
  <c r="AC223" i="1"/>
  <c r="G296" i="1"/>
  <c r="X118" i="1"/>
  <c r="Y118" i="1" s="1"/>
  <c r="Z118" i="1" s="1"/>
  <c r="X122" i="1"/>
  <c r="Y122" i="1" s="1"/>
  <c r="Z122" i="1" s="1"/>
  <c r="AC122" i="1"/>
  <c r="AB122" i="1"/>
  <c r="X142" i="1"/>
  <c r="Y142" i="1" s="1"/>
  <c r="Z142" i="1" s="1"/>
  <c r="AD142" i="1"/>
  <c r="AC151" i="1"/>
  <c r="AC153" i="1"/>
  <c r="AB153" i="1"/>
  <c r="X153" i="1"/>
  <c r="Y153" i="1" s="1"/>
  <c r="Z153" i="1" s="1"/>
  <c r="X219" i="1"/>
  <c r="AC219" i="1"/>
  <c r="AB219" i="1"/>
  <c r="X226" i="1"/>
  <c r="Y226" i="1" s="1"/>
  <c r="Z226" i="1" s="1"/>
  <c r="AB226" i="1"/>
  <c r="AD226" i="1"/>
  <c r="S294" i="1"/>
  <c r="G294" i="1"/>
  <c r="X323" i="1"/>
  <c r="AD323" i="1"/>
  <c r="AC323" i="1"/>
  <c r="AB323" i="1"/>
  <c r="AB342" i="1"/>
  <c r="X342" i="1"/>
  <c r="Y342" i="1" s="1"/>
  <c r="Z342" i="1" s="1"/>
  <c r="AD342" i="1"/>
  <c r="AC342" i="1"/>
  <c r="AB56" i="1"/>
  <c r="AD71" i="1"/>
  <c r="AC71" i="1"/>
  <c r="AB71" i="1"/>
  <c r="X71" i="1"/>
  <c r="Y71" i="1" s="1"/>
  <c r="Z71" i="1" s="1"/>
  <c r="AD79" i="1"/>
  <c r="AB79" i="1"/>
  <c r="X79" i="1"/>
  <c r="Y79" i="1" s="1"/>
  <c r="Z79" i="1" s="1"/>
  <c r="X158" i="1"/>
  <c r="Y158" i="1" s="1"/>
  <c r="Z158" i="1" s="1"/>
  <c r="AB158" i="1"/>
  <c r="AD160" i="1"/>
  <c r="X160" i="1"/>
  <c r="Y160" i="1" s="1"/>
  <c r="Z160" i="1" s="1"/>
  <c r="AC160" i="1"/>
  <c r="AD175" i="1"/>
  <c r="AC175" i="1"/>
  <c r="AB175" i="1"/>
  <c r="S178" i="1"/>
  <c r="G178" i="1" s="1"/>
  <c r="X187" i="1"/>
  <c r="Y187" i="1" s="1"/>
  <c r="Z187" i="1" s="1"/>
  <c r="AD187" i="1"/>
  <c r="AC187" i="1"/>
  <c r="AB187" i="1"/>
  <c r="AB221" i="1"/>
  <c r="S256" i="1"/>
  <c r="G256" i="1" s="1"/>
  <c r="AB261" i="1"/>
  <c r="AD261" i="1"/>
  <c r="AC261" i="1"/>
  <c r="X261" i="1"/>
  <c r="Y261" i="1" s="1"/>
  <c r="Z261" i="1" s="1"/>
  <c r="AB9" i="1"/>
  <c r="S29" i="1"/>
  <c r="G29" i="1" s="1"/>
  <c r="AD84" i="1"/>
  <c r="AD104" i="1"/>
  <c r="AC104" i="1"/>
  <c r="AB104" i="1"/>
  <c r="S111" i="1"/>
  <c r="G111" i="1" s="1"/>
  <c r="X130" i="1"/>
  <c r="Y130" i="1" s="1"/>
  <c r="Z130" i="1" s="1"/>
  <c r="AD130" i="1"/>
  <c r="AC130" i="1"/>
  <c r="AB130" i="1"/>
  <c r="S149" i="1"/>
  <c r="G149" i="1" s="1"/>
  <c r="AD153" i="1"/>
  <c r="G166" i="1"/>
  <c r="X175" i="1"/>
  <c r="Y175" i="1" s="1"/>
  <c r="Z175" i="1" s="1"/>
  <c r="AD180" i="1"/>
  <c r="G183" i="1"/>
  <c r="X195" i="1"/>
  <c r="Y195" i="1" s="1"/>
  <c r="Z195" i="1" s="1"/>
  <c r="AD195" i="1"/>
  <c r="AC195" i="1"/>
  <c r="AB195" i="1"/>
  <c r="AB206" i="1"/>
  <c r="S211" i="1"/>
  <c r="G211" i="1" s="1"/>
  <c r="AD219" i="1"/>
  <c r="AC221" i="1"/>
  <c r="X292" i="1"/>
  <c r="Y292" i="1" s="1"/>
  <c r="Z292" i="1" s="1"/>
  <c r="AD292" i="1"/>
  <c r="G20" i="1"/>
  <c r="S21" i="1"/>
  <c r="G21" i="1" s="1"/>
  <c r="S49" i="1"/>
  <c r="G49" i="1" s="1"/>
  <c r="AD58" i="1"/>
  <c r="AC58" i="1"/>
  <c r="AB58" i="1"/>
  <c r="AC79" i="1"/>
  <c r="X102" i="1"/>
  <c r="Y102" i="1" s="1"/>
  <c r="Z102" i="1" s="1"/>
  <c r="AC102" i="1"/>
  <c r="AB102" i="1"/>
  <c r="S109" i="1"/>
  <c r="G109" i="1" s="1"/>
  <c r="AD122" i="1"/>
  <c r="S137" i="1"/>
  <c r="G137" i="1" s="1"/>
  <c r="AB142" i="1"/>
  <c r="X173" i="1"/>
  <c r="Y173" i="1" s="1"/>
  <c r="Z173" i="1" s="1"/>
  <c r="S191" i="1"/>
  <c r="G191" i="1" s="1"/>
  <c r="S224" i="1"/>
  <c r="G224" i="1" s="1"/>
  <c r="X228" i="1"/>
  <c r="Y228" i="1" s="1"/>
  <c r="Z228" i="1" s="1"/>
  <c r="AB228" i="1"/>
  <c r="AD228" i="1"/>
  <c r="AC228" i="1"/>
  <c r="AC280" i="1"/>
  <c r="AB280" i="1"/>
  <c r="X280" i="1"/>
  <c r="Y280" i="1" s="1"/>
  <c r="Z280" i="1" s="1"/>
  <c r="AD280" i="1"/>
  <c r="AD328" i="1"/>
  <c r="X328" i="1"/>
  <c r="Y328" i="1" s="1"/>
  <c r="Z328" i="1" s="1"/>
  <c r="AC328" i="1"/>
  <c r="AB328" i="1"/>
  <c r="X334" i="1"/>
  <c r="Y334" i="1" s="1"/>
  <c r="Z334" i="1" s="1"/>
  <c r="AD334" i="1"/>
  <c r="AC334" i="1"/>
  <c r="AB334" i="1"/>
  <c r="AC363" i="1"/>
  <c r="X363" i="1"/>
  <c r="Y363" i="1" s="1"/>
  <c r="Z363" i="1" s="1"/>
  <c r="AD363" i="1"/>
  <c r="AB363" i="1"/>
  <c r="G25" i="1"/>
  <c r="G60" i="1"/>
  <c r="S66" i="1"/>
  <c r="G66" i="1" s="1"/>
  <c r="X83" i="1"/>
  <c r="Y83" i="1" s="1"/>
  <c r="Z83" i="1" s="1"/>
  <c r="X87" i="1"/>
  <c r="Y87" i="1" s="1"/>
  <c r="Z87" i="1" s="1"/>
  <c r="AD87" i="1"/>
  <c r="AC87" i="1"/>
  <c r="AB87" i="1"/>
  <c r="AC142" i="1"/>
  <c r="AD151" i="1"/>
  <c r="AC158" i="1"/>
  <c r="AB160" i="1"/>
  <c r="AC173" i="1"/>
  <c r="AB181" i="1"/>
  <c r="AC181" i="1"/>
  <c r="X181" i="1"/>
  <c r="Y181" i="1" s="1"/>
  <c r="Z181" i="1" s="1"/>
  <c r="AC193" i="1"/>
  <c r="AB193" i="1"/>
  <c r="X193" i="1"/>
  <c r="Y193" i="1" s="1"/>
  <c r="Z193" i="1" s="1"/>
  <c r="X204" i="1"/>
  <c r="Y204" i="1" s="1"/>
  <c r="Z204" i="1" s="1"/>
  <c r="AC226" i="1"/>
  <c r="AB292" i="1"/>
  <c r="AD307" i="1"/>
  <c r="X307" i="1"/>
  <c r="AC307" i="1"/>
  <c r="AB307" i="1"/>
  <c r="AD388" i="1"/>
  <c r="AC388" i="1"/>
  <c r="AB388" i="1"/>
  <c r="X388" i="1"/>
  <c r="Y388" i="1" s="1"/>
  <c r="Z388" i="1" s="1"/>
  <c r="AC391" i="1"/>
  <c r="AD391" i="1"/>
  <c r="AB391" i="1"/>
  <c r="X185" i="1"/>
  <c r="Y185" i="1" s="1"/>
  <c r="Z185" i="1" s="1"/>
  <c r="AB185" i="1"/>
  <c r="S197" i="1"/>
  <c r="G197" i="1" s="1"/>
  <c r="S247" i="1"/>
  <c r="G247" i="1" s="1"/>
  <c r="AD265" i="1"/>
  <c r="AC265" i="1"/>
  <c r="G278" i="1"/>
  <c r="AD318" i="1"/>
  <c r="X318" i="1"/>
  <c r="AC318" i="1"/>
  <c r="AB318" i="1"/>
  <c r="AB325" i="1"/>
  <c r="X325" i="1"/>
  <c r="Y325" i="1" s="1"/>
  <c r="Z325" i="1" s="1"/>
  <c r="AD325" i="1"/>
  <c r="AC325" i="1"/>
  <c r="G76" i="1"/>
  <c r="G99" i="1"/>
  <c r="G174" i="1"/>
  <c r="AD185" i="1"/>
  <c r="G212" i="1"/>
  <c r="X251" i="1"/>
  <c r="AD251" i="1"/>
  <c r="AC251" i="1"/>
  <c r="G254" i="1"/>
  <c r="X285" i="1"/>
  <c r="Y285" i="1" s="1"/>
  <c r="Z285" i="1" s="1"/>
  <c r="AD285" i="1"/>
  <c r="S319" i="1"/>
  <c r="G319" i="1" s="1"/>
  <c r="AB337" i="1"/>
  <c r="X337" i="1"/>
  <c r="Y337" i="1" s="1"/>
  <c r="Z337" i="1" s="1"/>
  <c r="AD337" i="1"/>
  <c r="AC337" i="1"/>
  <c r="G126" i="1"/>
  <c r="X132" i="1"/>
  <c r="Y132" i="1" s="1"/>
  <c r="Z132" i="1" s="1"/>
  <c r="AC132" i="1"/>
  <c r="AB132" i="1"/>
  <c r="AD136" i="1"/>
  <c r="AC136" i="1"/>
  <c r="AB136" i="1"/>
  <c r="S184" i="1"/>
  <c r="G184" i="1" s="1"/>
  <c r="X202" i="1"/>
  <c r="Y202" i="1" s="1"/>
  <c r="Z202" i="1" s="1"/>
  <c r="AB215" i="1"/>
  <c r="X215" i="1"/>
  <c r="Y215" i="1" s="1"/>
  <c r="Z215" i="1" s="1"/>
  <c r="AD215" i="1"/>
  <c r="AD242" i="1"/>
  <c r="X242" i="1"/>
  <c r="Y242" i="1" s="1"/>
  <c r="Z242" i="1" s="1"/>
  <c r="AC242" i="1"/>
  <c r="S244" i="1"/>
  <c r="G244" i="1" s="1"/>
  <c r="X272" i="1"/>
  <c r="Y272" i="1" s="1"/>
  <c r="Z272" i="1" s="1"/>
  <c r="AD272" i="1"/>
  <c r="AC272" i="1"/>
  <c r="AB272" i="1"/>
  <c r="X283" i="1"/>
  <c r="Y283" i="1" s="1"/>
  <c r="Z283" i="1" s="1"/>
  <c r="AB283" i="1"/>
  <c r="AD283" i="1"/>
  <c r="AB306" i="1"/>
  <c r="AD306" i="1"/>
  <c r="AC306" i="1"/>
  <c r="AB315" i="1"/>
  <c r="X315" i="1"/>
  <c r="AD315" i="1"/>
  <c r="AB331" i="1"/>
  <c r="AC331" i="1"/>
  <c r="X331" i="1"/>
  <c r="Y331" i="1" s="1"/>
  <c r="Z331" i="1" s="1"/>
  <c r="AD376" i="1"/>
  <c r="AC376" i="1"/>
  <c r="AB376" i="1"/>
  <c r="X376" i="1"/>
  <c r="Y376" i="1" s="1"/>
  <c r="Z376" i="1" s="1"/>
  <c r="S379" i="1"/>
  <c r="G379" i="1"/>
  <c r="X412" i="1"/>
  <c r="Y412" i="1" s="1"/>
  <c r="Z412" i="1" s="1"/>
  <c r="AC412" i="1"/>
  <c r="S70" i="1"/>
  <c r="G70" i="1" s="1"/>
  <c r="S93" i="1"/>
  <c r="G93" i="1" s="1"/>
  <c r="S108" i="1"/>
  <c r="G108" i="1" s="1"/>
  <c r="S126" i="1"/>
  <c r="AC139" i="1"/>
  <c r="AB139" i="1"/>
  <c r="AD148" i="1"/>
  <c r="X148" i="1"/>
  <c r="Y148" i="1" s="1"/>
  <c r="Z148" i="1" s="1"/>
  <c r="G161" i="1"/>
  <c r="X167" i="1"/>
  <c r="Y167" i="1" s="1"/>
  <c r="Z167" i="1" s="1"/>
  <c r="AC167" i="1"/>
  <c r="X186" i="1"/>
  <c r="Y186" i="1" s="1"/>
  <c r="Z186" i="1" s="1"/>
  <c r="AC186" i="1"/>
  <c r="AB186" i="1"/>
  <c r="AC266" i="1"/>
  <c r="AB266" i="1"/>
  <c r="X266" i="1"/>
  <c r="Y266" i="1" s="1"/>
  <c r="Z266" i="1" s="1"/>
  <c r="X301" i="1"/>
  <c r="AD301" i="1"/>
  <c r="AC301" i="1"/>
  <c r="AB301" i="1"/>
  <c r="AC313" i="1"/>
  <c r="X313" i="1"/>
  <c r="Y313" i="1" s="1"/>
  <c r="Z313" i="1" s="1"/>
  <c r="AD313" i="1"/>
  <c r="AB313" i="1"/>
  <c r="X326" i="1"/>
  <c r="Y326" i="1" s="1"/>
  <c r="Z326" i="1" s="1"/>
  <c r="AD326" i="1"/>
  <c r="AD352" i="1"/>
  <c r="AC352" i="1"/>
  <c r="AB352" i="1"/>
  <c r="X352" i="1"/>
  <c r="Y352" i="1" s="1"/>
  <c r="Z352" i="1" s="1"/>
  <c r="G68" i="1"/>
  <c r="G69" i="1"/>
  <c r="G91" i="1"/>
  <c r="G92" i="1"/>
  <c r="G107" i="1"/>
  <c r="S112" i="1"/>
  <c r="G112" i="1" s="1"/>
  <c r="X129" i="1"/>
  <c r="Y129" i="1" s="1"/>
  <c r="Z129" i="1" s="1"/>
  <c r="X136" i="1"/>
  <c r="Y136" i="1" s="1"/>
  <c r="Z136" i="1" s="1"/>
  <c r="S161" i="1"/>
  <c r="G177" i="1"/>
  <c r="S229" i="1"/>
  <c r="G229" i="1" s="1"/>
  <c r="AB242" i="1"/>
  <c r="S246" i="1"/>
  <c r="G246" i="1" s="1"/>
  <c r="G259" i="1"/>
  <c r="AC262" i="1"/>
  <c r="AC268" i="1"/>
  <c r="AB268" i="1"/>
  <c r="AD268" i="1"/>
  <c r="X268" i="1"/>
  <c r="Y268" i="1" s="1"/>
  <c r="Z268" i="1" s="1"/>
  <c r="AD275" i="1"/>
  <c r="AC275" i="1"/>
  <c r="AB275" i="1"/>
  <c r="X275" i="1"/>
  <c r="Y275" i="1" s="1"/>
  <c r="Z275" i="1" s="1"/>
  <c r="AB285" i="1"/>
  <c r="S289" i="1"/>
  <c r="G289" i="1" s="1"/>
  <c r="X306" i="1"/>
  <c r="Y306" i="1" s="1"/>
  <c r="Z306" i="1" s="1"/>
  <c r="X393" i="1"/>
  <c r="Y393" i="1" s="1"/>
  <c r="Z393" i="1" s="1"/>
  <c r="AD393" i="1"/>
  <c r="AC393" i="1"/>
  <c r="AB393" i="1"/>
  <c r="AC129" i="1"/>
  <c r="X164" i="1"/>
  <c r="Y164" i="1" s="1"/>
  <c r="Z164" i="1" s="1"/>
  <c r="AC188" i="1"/>
  <c r="AB188" i="1"/>
  <c r="G192" i="1"/>
  <c r="AC215" i="1"/>
  <c r="AB251" i="1"/>
  <c r="AC283" i="1"/>
  <c r="AC285" i="1"/>
  <c r="AD331" i="1"/>
  <c r="X356" i="1"/>
  <c r="Y356" i="1" s="1"/>
  <c r="Z356" i="1" s="1"/>
  <c r="AD356" i="1"/>
  <c r="AC356" i="1"/>
  <c r="AB356" i="1"/>
  <c r="G257" i="1"/>
  <c r="S257" i="1"/>
  <c r="G264" i="1"/>
  <c r="AC340" i="1"/>
  <c r="X340" i="1"/>
  <c r="Y340" i="1" s="1"/>
  <c r="Z340" i="1" s="1"/>
  <c r="AB347" i="1"/>
  <c r="AC347" i="1"/>
  <c r="X347" i="1"/>
  <c r="Y347" i="1" s="1"/>
  <c r="Z347" i="1" s="1"/>
  <c r="S351" i="1"/>
  <c r="G351" i="1" s="1"/>
  <c r="G353" i="1"/>
  <c r="X381" i="1"/>
  <c r="Y381" i="1" s="1"/>
  <c r="Z381" i="1" s="1"/>
  <c r="AD381" i="1"/>
  <c r="AC381" i="1"/>
  <c r="AB381" i="1"/>
  <c r="AD399" i="1"/>
  <c r="AC399" i="1"/>
  <c r="AB399" i="1"/>
  <c r="X399" i="1"/>
  <c r="Y399" i="1" s="1"/>
  <c r="Z399" i="1" s="1"/>
  <c r="AD360" i="1"/>
  <c r="AC360" i="1"/>
  <c r="AB360" i="1"/>
  <c r="X360" i="1"/>
  <c r="Y360" i="1" s="1"/>
  <c r="Z360" i="1" s="1"/>
  <c r="AD390" i="1"/>
  <c r="AB390" i="1"/>
  <c r="X390" i="1"/>
  <c r="Y390" i="1" s="1"/>
  <c r="Z390" i="1" s="1"/>
  <c r="AC390" i="1"/>
  <c r="AD402" i="1"/>
  <c r="AB402" i="1"/>
  <c r="X402" i="1"/>
  <c r="Y402" i="1" s="1"/>
  <c r="Z402" i="1" s="1"/>
  <c r="AC402" i="1"/>
  <c r="X227" i="1"/>
  <c r="Y227" i="1" s="1"/>
  <c r="Z227" i="1" s="1"/>
  <c r="AB227" i="1"/>
  <c r="AD277" i="1"/>
  <c r="AC277" i="1"/>
  <c r="AB277" i="1"/>
  <c r="X277" i="1"/>
  <c r="Y277" i="1" s="1"/>
  <c r="Z277" i="1" s="1"/>
  <c r="AD295" i="1"/>
  <c r="AB295" i="1"/>
  <c r="X303" i="1"/>
  <c r="AB303" i="1"/>
  <c r="AC350" i="1"/>
  <c r="AD350" i="1"/>
  <c r="AB350" i="1"/>
  <c r="X350" i="1"/>
  <c r="Y350" i="1" s="1"/>
  <c r="Z350" i="1" s="1"/>
  <c r="AB364" i="1"/>
  <c r="X364" i="1"/>
  <c r="Y364" i="1" s="1"/>
  <c r="Z364" i="1" s="1"/>
  <c r="AC364" i="1"/>
  <c r="AD364" i="1"/>
  <c r="S116" i="1"/>
  <c r="G116" i="1" s="1"/>
  <c r="S201" i="1"/>
  <c r="G201" i="1" s="1"/>
  <c r="AC308" i="1"/>
  <c r="AD308" i="1"/>
  <c r="AB308" i="1"/>
  <c r="X308" i="1"/>
  <c r="AB336" i="1"/>
  <c r="AD336" i="1"/>
  <c r="X336" i="1"/>
  <c r="Y336" i="1" s="1"/>
  <c r="Z336" i="1" s="1"/>
  <c r="S348" i="1"/>
  <c r="G348" i="1" s="1"/>
  <c r="S380" i="1"/>
  <c r="G380" i="1" s="1"/>
  <c r="AD386" i="1"/>
  <c r="AC386" i="1"/>
  <c r="AB386" i="1"/>
  <c r="X386" i="1"/>
  <c r="Y386" i="1" s="1"/>
  <c r="Z386" i="1" s="1"/>
  <c r="S398" i="1"/>
  <c r="G398" i="1"/>
  <c r="G106" i="1"/>
  <c r="G115" i="1"/>
  <c r="G200" i="1"/>
  <c r="S222" i="1"/>
  <c r="G222" i="1" s="1"/>
  <c r="S245" i="1"/>
  <c r="G245" i="1" s="1"/>
  <c r="X295" i="1"/>
  <c r="AC303" i="1"/>
  <c r="G332" i="1"/>
  <c r="S343" i="1"/>
  <c r="G343" i="1" s="1"/>
  <c r="S345" i="1"/>
  <c r="G345" i="1" s="1"/>
  <c r="AD362" i="1"/>
  <c r="AB362" i="1"/>
  <c r="X362" i="1"/>
  <c r="Y362" i="1" s="1"/>
  <c r="Z362" i="1" s="1"/>
  <c r="AC362" i="1"/>
  <c r="S389" i="1"/>
  <c r="G389" i="1" s="1"/>
  <c r="G396" i="1"/>
  <c r="G279" i="1"/>
  <c r="G378" i="1"/>
  <c r="G411" i="1"/>
  <c r="G114" i="1"/>
  <c r="G124" i="1"/>
  <c r="G135" i="1"/>
  <c r="G146" i="1"/>
  <c r="G159" i="1"/>
  <c r="G189" i="1"/>
  <c r="G199" i="1"/>
  <c r="G209" i="1"/>
  <c r="G232" i="1"/>
  <c r="G234" i="1"/>
  <c r="G235" i="1"/>
  <c r="G236" i="1"/>
  <c r="G237" i="1"/>
  <c r="G238" i="1"/>
  <c r="G239" i="1"/>
  <c r="G240" i="1"/>
  <c r="G249" i="1"/>
  <c r="G250" i="1"/>
  <c r="G252" i="1"/>
  <c r="G258" i="1"/>
  <c r="G270" i="1"/>
  <c r="G273" i="1"/>
  <c r="G287" i="1"/>
  <c r="G290" i="1"/>
  <c r="S320" i="1"/>
  <c r="G320" i="1" s="1"/>
  <c r="AC324" i="1"/>
  <c r="AB324" i="1"/>
  <c r="AB341" i="1"/>
  <c r="X341" i="1"/>
  <c r="Y341" i="1" s="1"/>
  <c r="Z341" i="1" s="1"/>
  <c r="X383" i="1"/>
  <c r="Y383" i="1" s="1"/>
  <c r="Z383" i="1" s="1"/>
  <c r="AD383" i="1"/>
  <c r="AC383" i="1"/>
  <c r="S387" i="1"/>
  <c r="G387" i="1" s="1"/>
  <c r="G243" i="1"/>
  <c r="S276" i="1"/>
  <c r="G276" i="1" s="1"/>
  <c r="S293" i="1"/>
  <c r="G293" i="1" s="1"/>
  <c r="G299" i="1"/>
  <c r="G317" i="1"/>
  <c r="S333" i="1"/>
  <c r="G333" i="1" s="1"/>
  <c r="S349" i="1"/>
  <c r="G349" i="1" s="1"/>
  <c r="AB404" i="1"/>
  <c r="X404" i="1"/>
  <c r="Y404" i="1" s="1"/>
  <c r="Z404" i="1" s="1"/>
  <c r="AD404" i="1"/>
  <c r="AC404" i="1"/>
  <c r="X312" i="1"/>
  <c r="Y312" i="1" s="1"/>
  <c r="Z312" i="1" s="1"/>
  <c r="AD312" i="1"/>
  <c r="S392" i="1"/>
  <c r="G392" i="1" s="1"/>
  <c r="AC403" i="1"/>
  <c r="X403" i="1"/>
  <c r="Y403" i="1" s="1"/>
  <c r="Z403" i="1" s="1"/>
  <c r="G316" i="1"/>
  <c r="G339" i="1"/>
  <c r="S355" i="1"/>
  <c r="G355" i="1" s="1"/>
  <c r="S375" i="1"/>
  <c r="G375" i="1" s="1"/>
  <c r="G297" i="1"/>
  <c r="G311" i="1"/>
  <c r="G321" i="1"/>
  <c r="G327" i="1"/>
  <c r="S358" i="1"/>
  <c r="G358" i="1" s="1"/>
  <c r="G377" i="1"/>
  <c r="S409" i="1"/>
  <c r="G409" i="1" s="1"/>
  <c r="AD397" i="1"/>
  <c r="AC397" i="1"/>
  <c r="G401" i="1"/>
  <c r="AD385" i="1"/>
  <c r="AC385" i="1"/>
  <c r="S322" i="1"/>
  <c r="G322" i="1" s="1"/>
  <c r="G338" i="1"/>
  <c r="G374" i="1"/>
  <c r="AB397" i="1"/>
  <c r="G366" i="1"/>
  <c r="G382" i="1"/>
  <c r="G373" i="1"/>
  <c r="G395" i="1"/>
  <c r="G407" i="1"/>
  <c r="AB305" i="1" l="1"/>
  <c r="AB202" i="1"/>
  <c r="AB42" i="1"/>
  <c r="X64" i="1"/>
  <c r="Y64" i="1" s="1"/>
  <c r="Z64" i="1" s="1"/>
  <c r="AB28" i="1"/>
  <c r="AC225" i="1"/>
  <c r="AB27" i="1"/>
  <c r="AC57" i="1"/>
  <c r="AB32" i="1"/>
  <c r="X32" i="1"/>
  <c r="Y32" i="1" s="1"/>
  <c r="Z32" i="1" s="1"/>
  <c r="AD32" i="1"/>
  <c r="AC32" i="1"/>
  <c r="X262" i="1"/>
  <c r="Y262" i="1" s="1"/>
  <c r="Z262" i="1" s="1"/>
  <c r="AC202" i="1"/>
  <c r="AC204" i="1"/>
  <c r="AC42" i="1"/>
  <c r="AD225" i="1"/>
  <c r="X410" i="1"/>
  <c r="Y410" i="1" s="1"/>
  <c r="Z410" i="1" s="1"/>
  <c r="AD204" i="1"/>
  <c r="AD42" i="1"/>
  <c r="AC77" i="1"/>
  <c r="X225" i="1"/>
  <c r="Y225" i="1" s="1"/>
  <c r="Z225" i="1" s="1"/>
  <c r="AD63" i="1"/>
  <c r="AB46" i="1"/>
  <c r="AD369" i="1"/>
  <c r="X171" i="1"/>
  <c r="Y171" i="1" s="1"/>
  <c r="Z171" i="1" s="1"/>
  <c r="AD171" i="1"/>
  <c r="AC171" i="1"/>
  <c r="AB171" i="1"/>
  <c r="AB262" i="1"/>
  <c r="AB410" i="1"/>
  <c r="AD260" i="1"/>
  <c r="AC67" i="1"/>
  <c r="AD152" i="1"/>
  <c r="AB288" i="1"/>
  <c r="X63" i="1"/>
  <c r="Y63" i="1" s="1"/>
  <c r="Z63" i="1" s="1"/>
  <c r="AC53" i="1"/>
  <c r="AC46" i="1"/>
  <c r="X369" i="1"/>
  <c r="Y369" i="1" s="1"/>
  <c r="Z369" i="1" s="1"/>
  <c r="AC305" i="1"/>
  <c r="AD150" i="1"/>
  <c r="AB260" i="1"/>
  <c r="X217" i="1"/>
  <c r="Y217" i="1" s="1"/>
  <c r="Z217" i="1" s="1"/>
  <c r="AD77" i="1"/>
  <c r="AD67" i="1"/>
  <c r="X288" i="1"/>
  <c r="Y288" i="1" s="1"/>
  <c r="Z288" i="1" s="1"/>
  <c r="AC63" i="1"/>
  <c r="X50" i="1"/>
  <c r="Y50" i="1" s="1"/>
  <c r="Z50" i="1" s="1"/>
  <c r="AD47" i="1"/>
  <c r="AB369" i="1"/>
  <c r="X305" i="1"/>
  <c r="Y305" i="1" s="1"/>
  <c r="Z305" i="1" s="1"/>
  <c r="X88" i="1"/>
  <c r="Y88" i="1" s="1"/>
  <c r="Z88" i="1" s="1"/>
  <c r="AD88" i="1"/>
  <c r="AC88" i="1"/>
  <c r="Z314" i="1"/>
  <c r="AB152" i="1"/>
  <c r="AD410" i="1"/>
  <c r="X260" i="1"/>
  <c r="Y260" i="1" s="1"/>
  <c r="Z260" i="1" s="1"/>
  <c r="X67" i="1"/>
  <c r="Y67" i="1" s="1"/>
  <c r="Z67" i="1" s="1"/>
  <c r="X151" i="1"/>
  <c r="Y151" i="1" s="1"/>
  <c r="Z151" i="1" s="1"/>
  <c r="AC152" i="1"/>
  <c r="AC288" i="1"/>
  <c r="AD5" i="1"/>
  <c r="AB50" i="1"/>
  <c r="X47" i="1"/>
  <c r="Y47" i="1" s="1"/>
  <c r="Z47" i="1" s="1"/>
  <c r="AD139" i="1"/>
  <c r="X139" i="1"/>
  <c r="Y139" i="1" s="1"/>
  <c r="Z139" i="1" s="1"/>
  <c r="AB77" i="1"/>
  <c r="X31" i="1"/>
  <c r="Y31" i="1" s="1"/>
  <c r="Z31" i="1" s="1"/>
  <c r="AD31" i="1"/>
  <c r="AC31" i="1"/>
  <c r="AB31" i="1"/>
  <c r="AD64" i="1"/>
  <c r="AD28" i="1"/>
  <c r="X208" i="1"/>
  <c r="Y208" i="1" s="1"/>
  <c r="Z208" i="1" s="1"/>
  <c r="X28" i="1"/>
  <c r="Y28" i="1" s="1"/>
  <c r="Z28" i="1" s="1"/>
  <c r="AB5" i="1"/>
  <c r="AB83" i="1"/>
  <c r="AD83" i="1"/>
  <c r="AC408" i="1"/>
  <c r="X408" i="1"/>
  <c r="Y408" i="1" s="1"/>
  <c r="Z408" i="1" s="1"/>
  <c r="AB408" i="1"/>
  <c r="AD408" i="1"/>
  <c r="X13" i="1"/>
  <c r="Y13" i="1" s="1"/>
  <c r="Z13" i="1" s="1"/>
  <c r="AD13" i="1"/>
  <c r="AC13" i="1"/>
  <c r="AB13" i="1"/>
  <c r="AD384" i="1"/>
  <c r="X384" i="1"/>
  <c r="Y384" i="1" s="1"/>
  <c r="Z384" i="1" s="1"/>
  <c r="AC384" i="1"/>
  <c r="AB384" i="1"/>
  <c r="AD61" i="1"/>
  <c r="AC61" i="1"/>
  <c r="X61" i="1"/>
  <c r="Y61" i="1" s="1"/>
  <c r="Z61" i="1" s="1"/>
  <c r="AB61" i="1"/>
  <c r="X24" i="1"/>
  <c r="Y24" i="1" s="1"/>
  <c r="Z24" i="1" s="1"/>
  <c r="AC24" i="1"/>
  <c r="AB24" i="1"/>
  <c r="AD24" i="1"/>
  <c r="AB365" i="1"/>
  <c r="X365" i="1"/>
  <c r="Y365" i="1" s="1"/>
  <c r="Z365" i="1" s="1"/>
  <c r="AD365" i="1"/>
  <c r="AC365" i="1"/>
  <c r="AD163" i="1"/>
  <c r="AC163" i="1"/>
  <c r="AB163" i="1"/>
  <c r="X163" i="1"/>
  <c r="Y163" i="1" s="1"/>
  <c r="Z163" i="1" s="1"/>
  <c r="AB412" i="1"/>
  <c r="X241" i="1"/>
  <c r="Y241" i="1" s="1"/>
  <c r="Z241" i="1" s="1"/>
  <c r="AC241" i="1"/>
  <c r="AB241" i="1"/>
  <c r="AD241" i="1"/>
  <c r="Z310" i="1"/>
  <c r="Y310" i="1"/>
  <c r="AD34" i="1"/>
  <c r="AC34" i="1"/>
  <c r="AB34" i="1"/>
  <c r="X34" i="1"/>
  <c r="Y34" i="1" s="1"/>
  <c r="Z34" i="1" s="1"/>
  <c r="X253" i="1"/>
  <c r="Z253" i="1" s="1"/>
  <c r="AD118" i="1"/>
  <c r="AD78" i="1"/>
  <c r="AC82" i="1"/>
  <c r="X78" i="1"/>
  <c r="Y78" i="1" s="1"/>
  <c r="Z78" i="1" s="1"/>
  <c r="AB128" i="1"/>
  <c r="AC118" i="1"/>
  <c r="AB78" i="1"/>
  <c r="X265" i="1"/>
  <c r="Y265" i="1" s="1"/>
  <c r="Z265" i="1" s="1"/>
  <c r="AC128" i="1"/>
  <c r="AB298" i="1"/>
  <c r="AB97" i="1"/>
  <c r="AD15" i="1"/>
  <c r="AD53" i="1"/>
  <c r="AB267" i="1"/>
  <c r="AB47" i="1"/>
  <c r="X57" i="1"/>
  <c r="Y57" i="1" s="1"/>
  <c r="Z57" i="1" s="1"/>
  <c r="X354" i="1"/>
  <c r="Y354" i="1" s="1"/>
  <c r="Z354" i="1" s="1"/>
  <c r="AC354" i="1"/>
  <c r="AB354" i="1"/>
  <c r="AD354" i="1"/>
  <c r="AB340" i="1"/>
  <c r="AD340" i="1"/>
  <c r="AB167" i="1"/>
  <c r="X53" i="1"/>
  <c r="Y53" i="1" s="1"/>
  <c r="Z53" i="1" s="1"/>
  <c r="AD267" i="1"/>
  <c r="AB57" i="1"/>
  <c r="AD217" i="1"/>
  <c r="AC217" i="1"/>
  <c r="AB314" i="1"/>
  <c r="X128" i="1"/>
  <c r="Y128" i="1" s="1"/>
  <c r="Z128" i="1" s="1"/>
  <c r="AD50" i="1"/>
  <c r="X188" i="1"/>
  <c r="Y188" i="1" s="1"/>
  <c r="Z188" i="1" s="1"/>
  <c r="AD188" i="1"/>
  <c r="X45" i="1"/>
  <c r="Y45" i="1" s="1"/>
  <c r="Z45" i="1" s="1"/>
  <c r="AD45" i="1"/>
  <c r="AC45" i="1"/>
  <c r="AB45" i="1"/>
  <c r="AC56" i="1"/>
  <c r="X82" i="1"/>
  <c r="Y82" i="1" s="1"/>
  <c r="Z82" i="1" s="1"/>
  <c r="X56" i="1"/>
  <c r="Y56" i="1" s="1"/>
  <c r="Z56" i="1" s="1"/>
  <c r="Z309" i="1"/>
  <c r="Y309" i="1"/>
  <c r="AD309" i="1"/>
  <c r="AB309" i="1"/>
  <c r="AC406" i="1"/>
  <c r="AB406" i="1"/>
  <c r="X406" i="1"/>
  <c r="Y406" i="1" s="1"/>
  <c r="Z406" i="1" s="1"/>
  <c r="AD406" i="1"/>
  <c r="AB253" i="1"/>
  <c r="AC253" i="1"/>
  <c r="AC394" i="1"/>
  <c r="AD394" i="1"/>
  <c r="X394" i="1"/>
  <c r="Y394" i="1" s="1"/>
  <c r="Z394" i="1" s="1"/>
  <c r="AB394" i="1"/>
  <c r="AD82" i="1"/>
  <c r="AC314" i="1"/>
  <c r="X230" i="1"/>
  <c r="Y230" i="1" s="1"/>
  <c r="Z230" i="1" s="1"/>
  <c r="AD230" i="1"/>
  <c r="AB230" i="1"/>
  <c r="AC230" i="1"/>
  <c r="AD314" i="1"/>
  <c r="AC97" i="1"/>
  <c r="X39" i="1"/>
  <c r="Y39" i="1" s="1"/>
  <c r="Z39" i="1" s="1"/>
  <c r="AD39" i="1"/>
  <c r="AC39" i="1"/>
  <c r="AB39" i="1"/>
  <c r="AD97" i="1"/>
  <c r="X267" i="1"/>
  <c r="Y267" i="1" s="1"/>
  <c r="Z267" i="1" s="1"/>
  <c r="AC372" i="1"/>
  <c r="AD372" i="1"/>
  <c r="X372" i="1"/>
  <c r="Y372" i="1" s="1"/>
  <c r="Z372" i="1" s="1"/>
  <c r="AD19" i="1"/>
  <c r="X19" i="1"/>
  <c r="Y19" i="1" s="1"/>
  <c r="Z19" i="1" s="1"/>
  <c r="AC19" i="1"/>
  <c r="AD9" i="1"/>
  <c r="X9" i="1"/>
  <c r="Y9" i="1" s="1"/>
  <c r="Z9" i="1" s="1"/>
  <c r="AC309" i="1"/>
  <c r="AD375" i="1"/>
  <c r="AC375" i="1"/>
  <c r="AB375" i="1"/>
  <c r="X375" i="1"/>
  <c r="Y375" i="1" s="1"/>
  <c r="Z375" i="1" s="1"/>
  <c r="X205" i="1"/>
  <c r="Y205" i="1" s="1"/>
  <c r="Z205" i="1" s="1"/>
  <c r="AD205" i="1"/>
  <c r="AC205" i="1"/>
  <c r="AB205" i="1"/>
  <c r="X6" i="1"/>
  <c r="Y6" i="1" s="1"/>
  <c r="Z6" i="1" s="1"/>
  <c r="AC6" i="1"/>
  <c r="AB6" i="1"/>
  <c r="AD6" i="1"/>
  <c r="AD81" i="1"/>
  <c r="AC81" i="1"/>
  <c r="AB81" i="1"/>
  <c r="X81" i="1"/>
  <c r="Y81" i="1" s="1"/>
  <c r="Z81" i="1" s="1"/>
  <c r="X355" i="1"/>
  <c r="Y355" i="1" s="1"/>
  <c r="Z355" i="1" s="1"/>
  <c r="AC355" i="1"/>
  <c r="AD355" i="1"/>
  <c r="AB355" i="1"/>
  <c r="AD137" i="1"/>
  <c r="AC137" i="1"/>
  <c r="AB137" i="1"/>
  <c r="X137" i="1"/>
  <c r="Y137" i="1" s="1"/>
  <c r="Z137" i="1" s="1"/>
  <c r="AD110" i="1"/>
  <c r="AC110" i="1"/>
  <c r="AB110" i="1"/>
  <c r="X110" i="1"/>
  <c r="Y110" i="1" s="1"/>
  <c r="Z110" i="1" s="1"/>
  <c r="AB119" i="1"/>
  <c r="AD119" i="1"/>
  <c r="AC119" i="1"/>
  <c r="X119" i="1"/>
  <c r="Y119" i="1" s="1"/>
  <c r="Z119" i="1" s="1"/>
  <c r="AC361" i="1"/>
  <c r="AB361" i="1"/>
  <c r="X361" i="1"/>
  <c r="Y361" i="1" s="1"/>
  <c r="Z361" i="1" s="1"/>
  <c r="AD361" i="1"/>
  <c r="AD178" i="1"/>
  <c r="AC178" i="1"/>
  <c r="X178" i="1"/>
  <c r="Y178" i="1" s="1"/>
  <c r="Z178" i="1" s="1"/>
  <c r="AB178" i="1"/>
  <c r="AD349" i="1"/>
  <c r="X349" i="1"/>
  <c r="Y349" i="1" s="1"/>
  <c r="Z349" i="1" s="1"/>
  <c r="AC349" i="1"/>
  <c r="AB349" i="1"/>
  <c r="AB320" i="1"/>
  <c r="X320" i="1"/>
  <c r="AC320" i="1"/>
  <c r="AD320" i="1"/>
  <c r="AD244" i="1"/>
  <c r="AC244" i="1"/>
  <c r="AB244" i="1"/>
  <c r="X244" i="1"/>
  <c r="Y244" i="1" s="1"/>
  <c r="Z244" i="1" s="1"/>
  <c r="AC224" i="1"/>
  <c r="X224" i="1"/>
  <c r="Y224" i="1" s="1"/>
  <c r="Z224" i="1" s="1"/>
  <c r="AB224" i="1"/>
  <c r="AD224" i="1"/>
  <c r="AB109" i="1"/>
  <c r="AD109" i="1"/>
  <c r="X109" i="1"/>
  <c r="Y109" i="1" s="1"/>
  <c r="Z109" i="1" s="1"/>
  <c r="AC109" i="1"/>
  <c r="AD247" i="1"/>
  <c r="AC247" i="1"/>
  <c r="AB247" i="1"/>
  <c r="X247" i="1"/>
  <c r="Y247" i="1" s="1"/>
  <c r="Z247" i="1" s="1"/>
  <c r="AC335" i="1"/>
  <c r="AD335" i="1"/>
  <c r="AB335" i="1"/>
  <c r="X335" i="1"/>
  <c r="Y335" i="1" s="1"/>
  <c r="Z335" i="1" s="1"/>
  <c r="X322" i="1"/>
  <c r="AD322" i="1"/>
  <c r="AC322" i="1"/>
  <c r="AB322" i="1"/>
  <c r="AD333" i="1"/>
  <c r="AC333" i="1"/>
  <c r="X333" i="1"/>
  <c r="Y333" i="1" s="1"/>
  <c r="Z333" i="1" s="1"/>
  <c r="AB333" i="1"/>
  <c r="AD387" i="1"/>
  <c r="AC387" i="1"/>
  <c r="AB387" i="1"/>
  <c r="X387" i="1"/>
  <c r="Y387" i="1" s="1"/>
  <c r="Z387" i="1" s="1"/>
  <c r="AD201" i="1"/>
  <c r="AC201" i="1"/>
  <c r="AB201" i="1"/>
  <c r="X201" i="1"/>
  <c r="Y201" i="1" s="1"/>
  <c r="Z201" i="1" s="1"/>
  <c r="AC108" i="1"/>
  <c r="AD108" i="1"/>
  <c r="X108" i="1"/>
  <c r="Y108" i="1" s="1"/>
  <c r="Z108" i="1" s="1"/>
  <c r="AB108" i="1"/>
  <c r="AD49" i="1"/>
  <c r="AC49" i="1"/>
  <c r="X49" i="1"/>
  <c r="Y49" i="1" s="1"/>
  <c r="Z49" i="1" s="1"/>
  <c r="AB49" i="1"/>
  <c r="X17" i="1"/>
  <c r="Y17" i="1" s="1"/>
  <c r="Z17" i="1" s="1"/>
  <c r="AD17" i="1"/>
  <c r="AB17" i="1"/>
  <c r="AC17" i="1"/>
  <c r="X141" i="1"/>
  <c r="Y141" i="1" s="1"/>
  <c r="Z141" i="1" s="1"/>
  <c r="AD141" i="1"/>
  <c r="AC141" i="1"/>
  <c r="AB141" i="1"/>
  <c r="AD276" i="1"/>
  <c r="AC276" i="1"/>
  <c r="AB276" i="1"/>
  <c r="X276" i="1"/>
  <c r="Y276" i="1" s="1"/>
  <c r="Z276" i="1" s="1"/>
  <c r="AB380" i="1"/>
  <c r="X380" i="1"/>
  <c r="Y380" i="1" s="1"/>
  <c r="Z380" i="1" s="1"/>
  <c r="AD380" i="1"/>
  <c r="AC380" i="1"/>
  <c r="AD409" i="1"/>
  <c r="AC409" i="1"/>
  <c r="AB409" i="1"/>
  <c r="X409" i="1"/>
  <c r="Y409" i="1" s="1"/>
  <c r="Z409" i="1" s="1"/>
  <c r="AC389" i="1"/>
  <c r="AB389" i="1"/>
  <c r="AD389" i="1"/>
  <c r="X389" i="1"/>
  <c r="Y389" i="1" s="1"/>
  <c r="Z389" i="1" s="1"/>
  <c r="AC256" i="1"/>
  <c r="AB256" i="1"/>
  <c r="AD256" i="1"/>
  <c r="X256" i="1"/>
  <c r="Y256" i="1" s="1"/>
  <c r="Z256" i="1" s="1"/>
  <c r="X131" i="1"/>
  <c r="Y131" i="1" s="1"/>
  <c r="Z131" i="1" s="1"/>
  <c r="AB131" i="1"/>
  <c r="AD131" i="1"/>
  <c r="AC131" i="1"/>
  <c r="AB351" i="1"/>
  <c r="AD351" i="1"/>
  <c r="X351" i="1"/>
  <c r="Y351" i="1" s="1"/>
  <c r="Z351" i="1" s="1"/>
  <c r="AC351" i="1"/>
  <c r="X29" i="1"/>
  <c r="Y29" i="1" s="1"/>
  <c r="Z29" i="1" s="1"/>
  <c r="AD29" i="1"/>
  <c r="AC29" i="1"/>
  <c r="AB29" i="1"/>
  <c r="X184" i="1"/>
  <c r="Y184" i="1" s="1"/>
  <c r="Z184" i="1" s="1"/>
  <c r="AC184" i="1"/>
  <c r="AB184" i="1"/>
  <c r="AD184" i="1"/>
  <c r="AD211" i="1"/>
  <c r="AC211" i="1"/>
  <c r="X211" i="1"/>
  <c r="AB211" i="1"/>
  <c r="G13" i="2"/>
  <c r="X293" i="1"/>
  <c r="Y293" i="1" s="1"/>
  <c r="Z293" i="1" s="1"/>
  <c r="AD293" i="1"/>
  <c r="AB293" i="1"/>
  <c r="AC293" i="1"/>
  <c r="X112" i="1"/>
  <c r="Y112" i="1" s="1"/>
  <c r="Z112" i="1" s="1"/>
  <c r="AD112" i="1"/>
  <c r="AC112" i="1"/>
  <c r="AB112" i="1"/>
  <c r="AC203" i="1"/>
  <c r="AB203" i="1"/>
  <c r="AD203" i="1"/>
  <c r="X203" i="1"/>
  <c r="Y203" i="1" s="1"/>
  <c r="Z203" i="1" s="1"/>
  <c r="X344" i="1"/>
  <c r="Y344" i="1" s="1"/>
  <c r="Z344" i="1" s="1"/>
  <c r="AD344" i="1"/>
  <c r="AC344" i="1"/>
  <c r="AB344" i="1"/>
  <c r="X30" i="1"/>
  <c r="Y30" i="1" s="1"/>
  <c r="Z30" i="1" s="1"/>
  <c r="AC30" i="1"/>
  <c r="AB30" i="1"/>
  <c r="AD30" i="1"/>
  <c r="X271" i="1"/>
  <c r="Y271" i="1" s="1"/>
  <c r="Z271" i="1" s="1"/>
  <c r="AD271" i="1"/>
  <c r="AC271" i="1"/>
  <c r="AB271" i="1"/>
  <c r="AD161" i="1"/>
  <c r="AC161" i="1"/>
  <c r="X161" i="1"/>
  <c r="Y161" i="1" s="1"/>
  <c r="Z161" i="1" s="1"/>
  <c r="AB161" i="1"/>
  <c r="AC37" i="1"/>
  <c r="AB37" i="1"/>
  <c r="AD37" i="1"/>
  <c r="X37" i="1"/>
  <c r="Y37" i="1" s="1"/>
  <c r="Z37" i="1" s="1"/>
  <c r="AC23" i="1"/>
  <c r="AB23" i="1"/>
  <c r="AD23" i="1"/>
  <c r="X23" i="1"/>
  <c r="Y23" i="1" s="1"/>
  <c r="Z23" i="1" s="1"/>
  <c r="AC377" i="1"/>
  <c r="AB377" i="1"/>
  <c r="AD377" i="1"/>
  <c r="X377" i="1"/>
  <c r="Y377" i="1" s="1"/>
  <c r="Z377" i="1" s="1"/>
  <c r="AD339" i="1"/>
  <c r="X339" i="1"/>
  <c r="Y339" i="1" s="1"/>
  <c r="Z339" i="1" s="1"/>
  <c r="AC339" i="1"/>
  <c r="AB339" i="1"/>
  <c r="AD243" i="1"/>
  <c r="AB243" i="1"/>
  <c r="X243" i="1"/>
  <c r="Y243" i="1" s="1"/>
  <c r="Z243" i="1" s="1"/>
  <c r="AC243" i="1"/>
  <c r="X239" i="1"/>
  <c r="Y239" i="1" s="1"/>
  <c r="Z239" i="1" s="1"/>
  <c r="AC239" i="1"/>
  <c r="AB239" i="1"/>
  <c r="AD239" i="1"/>
  <c r="X159" i="1"/>
  <c r="Y159" i="1" s="1"/>
  <c r="Z159" i="1" s="1"/>
  <c r="AD159" i="1"/>
  <c r="AC159" i="1"/>
  <c r="AB159" i="1"/>
  <c r="AD396" i="1"/>
  <c r="AC396" i="1"/>
  <c r="X396" i="1"/>
  <c r="Y396" i="1" s="1"/>
  <c r="Z396" i="1" s="1"/>
  <c r="AB396" i="1"/>
  <c r="AC332" i="1"/>
  <c r="AB332" i="1"/>
  <c r="AD332" i="1"/>
  <c r="X332" i="1"/>
  <c r="Y332" i="1" s="1"/>
  <c r="Z332" i="1" s="1"/>
  <c r="AD92" i="1"/>
  <c r="AC92" i="1"/>
  <c r="AB92" i="1"/>
  <c r="X92" i="1"/>
  <c r="Y92" i="1" s="1"/>
  <c r="Z92" i="1" s="1"/>
  <c r="AD254" i="1"/>
  <c r="AC254" i="1"/>
  <c r="X254" i="1"/>
  <c r="Y254" i="1" s="1"/>
  <c r="Z254" i="1" s="1"/>
  <c r="AB254" i="1"/>
  <c r="AD191" i="1"/>
  <c r="AC191" i="1"/>
  <c r="AB191" i="1"/>
  <c r="X191" i="1"/>
  <c r="Y191" i="1" s="1"/>
  <c r="Z191" i="1" s="1"/>
  <c r="Z323" i="1"/>
  <c r="Y323" i="1"/>
  <c r="AC51" i="1"/>
  <c r="AB51" i="1"/>
  <c r="AD51" i="1"/>
  <c r="X51" i="1"/>
  <c r="Y51" i="1" s="1"/>
  <c r="Z51" i="1" s="1"/>
  <c r="AD11" i="1"/>
  <c r="AC11" i="1"/>
  <c r="AB11" i="1"/>
  <c r="X11" i="1"/>
  <c r="Y11" i="1" s="1"/>
  <c r="Z11" i="1" s="1"/>
  <c r="AC338" i="1"/>
  <c r="AB338" i="1"/>
  <c r="AD338" i="1"/>
  <c r="X338" i="1"/>
  <c r="Y338" i="1" s="1"/>
  <c r="Z338" i="1" s="1"/>
  <c r="AB246" i="1"/>
  <c r="AD246" i="1"/>
  <c r="X246" i="1"/>
  <c r="Y246" i="1" s="1"/>
  <c r="Z246" i="1" s="1"/>
  <c r="AC246" i="1"/>
  <c r="X327" i="1"/>
  <c r="Y327" i="1" s="1"/>
  <c r="Z327" i="1" s="1"/>
  <c r="AC327" i="1"/>
  <c r="AB327" i="1"/>
  <c r="AD327" i="1"/>
  <c r="AD273" i="1"/>
  <c r="AC273" i="1"/>
  <c r="AB273" i="1"/>
  <c r="X273" i="1"/>
  <c r="Y273" i="1" s="1"/>
  <c r="Z273" i="1" s="1"/>
  <c r="AB236" i="1"/>
  <c r="X236" i="1"/>
  <c r="Y236" i="1" s="1"/>
  <c r="Z236" i="1" s="1"/>
  <c r="AD236" i="1"/>
  <c r="AC236" i="1"/>
  <c r="X124" i="1"/>
  <c r="Y124" i="1" s="1"/>
  <c r="Z124" i="1" s="1"/>
  <c r="AD124" i="1"/>
  <c r="AC124" i="1"/>
  <c r="AB124" i="1"/>
  <c r="AD177" i="1"/>
  <c r="AC177" i="1"/>
  <c r="AB177" i="1"/>
  <c r="X177" i="1"/>
  <c r="Y177" i="1" s="1"/>
  <c r="Z177" i="1" s="1"/>
  <c r="AD68" i="1"/>
  <c r="AC68" i="1"/>
  <c r="AB68" i="1"/>
  <c r="X68" i="1"/>
  <c r="Y68" i="1" s="1"/>
  <c r="Z68" i="1" s="1"/>
  <c r="Z251" i="1"/>
  <c r="Y251" i="1"/>
  <c r="AD25" i="1"/>
  <c r="AB25" i="1"/>
  <c r="AC25" i="1"/>
  <c r="X25" i="1"/>
  <c r="Y25" i="1" s="1"/>
  <c r="Z25" i="1" s="1"/>
  <c r="AD111" i="1"/>
  <c r="AC111" i="1"/>
  <c r="AB111" i="1"/>
  <c r="X111" i="1"/>
  <c r="Y111" i="1" s="1"/>
  <c r="Z111" i="1" s="1"/>
  <c r="X218" i="1"/>
  <c r="AB218" i="1"/>
  <c r="AC218" i="1"/>
  <c r="AD218" i="1"/>
  <c r="X240" i="1"/>
  <c r="Y240" i="1" s="1"/>
  <c r="Z240" i="1" s="1"/>
  <c r="AD240" i="1"/>
  <c r="AC240" i="1"/>
  <c r="AB240" i="1"/>
  <c r="AD398" i="1"/>
  <c r="AC398" i="1"/>
  <c r="AB398" i="1"/>
  <c r="X398" i="1"/>
  <c r="Y398" i="1" s="1"/>
  <c r="Z398" i="1" s="1"/>
  <c r="X373" i="1"/>
  <c r="Y373" i="1" s="1"/>
  <c r="Z373" i="1" s="1"/>
  <c r="AD373" i="1"/>
  <c r="AC373" i="1"/>
  <c r="AB373" i="1"/>
  <c r="X321" i="1"/>
  <c r="AC321" i="1"/>
  <c r="AD321" i="1"/>
  <c r="AB321" i="1"/>
  <c r="AB392" i="1"/>
  <c r="X392" i="1"/>
  <c r="Y392" i="1" s="1"/>
  <c r="Z392" i="1" s="1"/>
  <c r="AD392" i="1"/>
  <c r="AC392" i="1"/>
  <c r="AC270" i="1"/>
  <c r="AB270" i="1"/>
  <c r="X270" i="1"/>
  <c r="Y270" i="1" s="1"/>
  <c r="Z270" i="1" s="1"/>
  <c r="AD270" i="1"/>
  <c r="AC235" i="1"/>
  <c r="X235" i="1"/>
  <c r="Y235" i="1" s="1"/>
  <c r="Z235" i="1" s="1"/>
  <c r="AD235" i="1"/>
  <c r="AB235" i="1"/>
  <c r="X114" i="1"/>
  <c r="Y114" i="1" s="1"/>
  <c r="Z114" i="1" s="1"/>
  <c r="AD114" i="1"/>
  <c r="AC114" i="1"/>
  <c r="AB114" i="1"/>
  <c r="AC245" i="1"/>
  <c r="AD245" i="1"/>
  <c r="X245" i="1"/>
  <c r="Y245" i="1" s="1"/>
  <c r="Z245" i="1" s="1"/>
  <c r="AB245" i="1"/>
  <c r="AD264" i="1"/>
  <c r="AC264" i="1"/>
  <c r="AB264" i="1"/>
  <c r="X264" i="1"/>
  <c r="Y264" i="1" s="1"/>
  <c r="Z264" i="1" s="1"/>
  <c r="AD212" i="1"/>
  <c r="AC212" i="1"/>
  <c r="AB212" i="1"/>
  <c r="X212" i="1"/>
  <c r="X197" i="1"/>
  <c r="Y197" i="1" s="1"/>
  <c r="Z197" i="1" s="1"/>
  <c r="AD197" i="1"/>
  <c r="AC197" i="1"/>
  <c r="AB197" i="1"/>
  <c r="X166" i="1"/>
  <c r="Y166" i="1" s="1"/>
  <c r="Z166" i="1" s="1"/>
  <c r="AB166" i="1"/>
  <c r="AD166" i="1"/>
  <c r="AC166" i="1"/>
  <c r="AD296" i="1"/>
  <c r="AC296" i="1"/>
  <c r="AB296" i="1"/>
  <c r="X296" i="1"/>
  <c r="AB194" i="1"/>
  <c r="AC194" i="1"/>
  <c r="X194" i="1"/>
  <c r="Y194" i="1" s="1"/>
  <c r="Z194" i="1" s="1"/>
  <c r="AD194" i="1"/>
  <c r="X85" i="1"/>
  <c r="Y85" i="1" s="1"/>
  <c r="Z85" i="1" s="1"/>
  <c r="AD85" i="1"/>
  <c r="AC85" i="1"/>
  <c r="AB85" i="1"/>
  <c r="AB216" i="1"/>
  <c r="X216" i="1"/>
  <c r="Y216" i="1" s="1"/>
  <c r="Z216" i="1" s="1"/>
  <c r="AD216" i="1"/>
  <c r="AC216" i="1"/>
  <c r="AD189" i="1"/>
  <c r="AC189" i="1"/>
  <c r="AB189" i="1"/>
  <c r="X189" i="1"/>
  <c r="Y189" i="1" s="1"/>
  <c r="Z189" i="1" s="1"/>
  <c r="AD107" i="1"/>
  <c r="AC107" i="1"/>
  <c r="X107" i="1"/>
  <c r="Y107" i="1" s="1"/>
  <c r="Z107" i="1" s="1"/>
  <c r="AB107" i="1"/>
  <c r="AD60" i="1"/>
  <c r="AC60" i="1"/>
  <c r="X60" i="1"/>
  <c r="Y60" i="1" s="1"/>
  <c r="Z60" i="1" s="1"/>
  <c r="AB60" i="1"/>
  <c r="X395" i="1"/>
  <c r="Y395" i="1" s="1"/>
  <c r="Z395" i="1" s="1"/>
  <c r="AD395" i="1"/>
  <c r="AC395" i="1"/>
  <c r="AB395" i="1"/>
  <c r="AB382" i="1"/>
  <c r="AC382" i="1"/>
  <c r="X382" i="1"/>
  <c r="Y382" i="1" s="1"/>
  <c r="Z382" i="1" s="1"/>
  <c r="AD382" i="1"/>
  <c r="AC401" i="1"/>
  <c r="AB401" i="1"/>
  <c r="AD401" i="1"/>
  <c r="X401" i="1"/>
  <c r="Y401" i="1" s="1"/>
  <c r="Z401" i="1" s="1"/>
  <c r="X311" i="1"/>
  <c r="AB311" i="1"/>
  <c r="AD311" i="1"/>
  <c r="AC311" i="1"/>
  <c r="X258" i="1"/>
  <c r="Y258" i="1" s="1"/>
  <c r="Z258" i="1" s="1"/>
  <c r="AB258" i="1"/>
  <c r="AC258" i="1"/>
  <c r="AD258" i="1"/>
  <c r="AD234" i="1"/>
  <c r="X234" i="1"/>
  <c r="Y234" i="1" s="1"/>
  <c r="Z234" i="1" s="1"/>
  <c r="AC234" i="1"/>
  <c r="AB234" i="1"/>
  <c r="AC411" i="1"/>
  <c r="AB411" i="1"/>
  <c r="X411" i="1"/>
  <c r="Y411" i="1" s="1"/>
  <c r="Z411" i="1" s="1"/>
  <c r="AD411" i="1"/>
  <c r="AC319" i="1"/>
  <c r="AD319" i="1"/>
  <c r="AB319" i="1"/>
  <c r="X319" i="1"/>
  <c r="Z318" i="1"/>
  <c r="Y318" i="1"/>
  <c r="AD263" i="1"/>
  <c r="AB263" i="1"/>
  <c r="AC263" i="1"/>
  <c r="X263" i="1"/>
  <c r="Y263" i="1" s="1"/>
  <c r="Z263" i="1" s="1"/>
  <c r="X182" i="1"/>
  <c r="Y182" i="1" s="1"/>
  <c r="Z182" i="1" s="1"/>
  <c r="AD182" i="1"/>
  <c r="AC182" i="1"/>
  <c r="AB182" i="1"/>
  <c r="AD35" i="1"/>
  <c r="AC35" i="1"/>
  <c r="X35" i="1"/>
  <c r="Y35" i="1" s="1"/>
  <c r="Z35" i="1" s="1"/>
  <c r="AB35" i="1"/>
  <c r="AB279" i="1"/>
  <c r="AD279" i="1"/>
  <c r="AC279" i="1"/>
  <c r="X279" i="1"/>
  <c r="Y279" i="1" s="1"/>
  <c r="Z279" i="1" s="1"/>
  <c r="AD116" i="1"/>
  <c r="AC116" i="1"/>
  <c r="X116" i="1"/>
  <c r="Y116" i="1" s="1"/>
  <c r="Z116" i="1" s="1"/>
  <c r="AB116" i="1"/>
  <c r="X183" i="1"/>
  <c r="Y183" i="1" s="1"/>
  <c r="Z183" i="1" s="1"/>
  <c r="AD183" i="1"/>
  <c r="AC183" i="1"/>
  <c r="AB183" i="1"/>
  <c r="AD294" i="1"/>
  <c r="X294" i="1"/>
  <c r="AB294" i="1"/>
  <c r="AC294" i="1"/>
  <c r="Z213" i="1"/>
  <c r="Y213" i="1"/>
  <c r="AB154" i="1"/>
  <c r="AD154" i="1"/>
  <c r="AC154" i="1"/>
  <c r="X154" i="1"/>
  <c r="Y154" i="1" s="1"/>
  <c r="Z154" i="1" s="1"/>
  <c r="AC95" i="1"/>
  <c r="AB95" i="1"/>
  <c r="AD95" i="1"/>
  <c r="X95" i="1"/>
  <c r="Y95" i="1" s="1"/>
  <c r="Z95" i="1" s="1"/>
  <c r="AD135" i="1"/>
  <c r="AC135" i="1"/>
  <c r="AB135" i="1"/>
  <c r="X135" i="1"/>
  <c r="Y135" i="1" s="1"/>
  <c r="Z135" i="1" s="1"/>
  <c r="Z308" i="1"/>
  <c r="Y308" i="1"/>
  <c r="Z315" i="1"/>
  <c r="Y315" i="1"/>
  <c r="AB366" i="1"/>
  <c r="X366" i="1"/>
  <c r="Y366" i="1" s="1"/>
  <c r="Z366" i="1" s="1"/>
  <c r="AD366" i="1"/>
  <c r="AC366" i="1"/>
  <c r="AD297" i="1"/>
  <c r="AC297" i="1"/>
  <c r="AB297" i="1"/>
  <c r="X297" i="1"/>
  <c r="AD317" i="1"/>
  <c r="AB317" i="1"/>
  <c r="X317" i="1"/>
  <c r="AC317" i="1"/>
  <c r="AD232" i="1"/>
  <c r="AC232" i="1"/>
  <c r="AB232" i="1"/>
  <c r="X232" i="1"/>
  <c r="AD192" i="1"/>
  <c r="AC192" i="1"/>
  <c r="AB192" i="1"/>
  <c r="X192" i="1"/>
  <c r="Y192" i="1" s="1"/>
  <c r="Z192" i="1" s="1"/>
  <c r="AD126" i="1"/>
  <c r="AC126" i="1"/>
  <c r="X126" i="1"/>
  <c r="Y126" i="1" s="1"/>
  <c r="Z126" i="1" s="1"/>
  <c r="AB126" i="1"/>
  <c r="X302" i="1"/>
  <c r="AB302" i="1"/>
  <c r="AD302" i="1"/>
  <c r="AC302" i="1"/>
  <c r="X16" i="1"/>
  <c r="Y16" i="1" s="1"/>
  <c r="Z16" i="1" s="1"/>
  <c r="AD16" i="1"/>
  <c r="AC16" i="1"/>
  <c r="AB16" i="1"/>
  <c r="AD357" i="1"/>
  <c r="AC357" i="1"/>
  <c r="X357" i="1"/>
  <c r="Y357" i="1" s="1"/>
  <c r="Z357" i="1" s="1"/>
  <c r="AB357" i="1"/>
  <c r="G11" i="2"/>
  <c r="X343" i="1"/>
  <c r="Y343" i="1" s="1"/>
  <c r="Z343" i="1" s="1"/>
  <c r="AD343" i="1"/>
  <c r="AC343" i="1"/>
  <c r="AB343" i="1"/>
  <c r="AD70" i="1"/>
  <c r="AC70" i="1"/>
  <c r="X70" i="1"/>
  <c r="Y70" i="1" s="1"/>
  <c r="Z70" i="1" s="1"/>
  <c r="AB70" i="1"/>
  <c r="AD316" i="1"/>
  <c r="AC316" i="1"/>
  <c r="AB316" i="1"/>
  <c r="X316" i="1"/>
  <c r="X238" i="1"/>
  <c r="Y238" i="1" s="1"/>
  <c r="Z238" i="1" s="1"/>
  <c r="AD238" i="1"/>
  <c r="AC238" i="1"/>
  <c r="AB238" i="1"/>
  <c r="Z303" i="1"/>
  <c r="Y303" i="1"/>
  <c r="AD80" i="1"/>
  <c r="AC80" i="1"/>
  <c r="AB80" i="1"/>
  <c r="X80" i="1"/>
  <c r="Y80" i="1" s="1"/>
  <c r="Z80" i="1" s="1"/>
  <c r="X407" i="1"/>
  <c r="Y407" i="1" s="1"/>
  <c r="Z407" i="1" s="1"/>
  <c r="AD407" i="1"/>
  <c r="AC407" i="1"/>
  <c r="AB407" i="1"/>
  <c r="X237" i="1"/>
  <c r="Y237" i="1" s="1"/>
  <c r="Z237" i="1" s="1"/>
  <c r="AC237" i="1"/>
  <c r="AD237" i="1"/>
  <c r="AB237" i="1"/>
  <c r="AD69" i="1"/>
  <c r="AC69" i="1"/>
  <c r="AB69" i="1"/>
  <c r="X69" i="1"/>
  <c r="Y69" i="1" s="1"/>
  <c r="Z69" i="1" s="1"/>
  <c r="AC379" i="1"/>
  <c r="X379" i="1"/>
  <c r="Y379" i="1" s="1"/>
  <c r="Z379" i="1" s="1"/>
  <c r="AD379" i="1"/>
  <c r="AB379" i="1"/>
  <c r="Z300" i="1"/>
  <c r="Y300" i="1"/>
  <c r="X252" i="1"/>
  <c r="AD252" i="1"/>
  <c r="AC252" i="1"/>
  <c r="AB252" i="1"/>
  <c r="AD378" i="1"/>
  <c r="AB378" i="1"/>
  <c r="X378" i="1"/>
  <c r="Y378" i="1" s="1"/>
  <c r="Z378" i="1" s="1"/>
  <c r="AC378" i="1"/>
  <c r="AD200" i="1"/>
  <c r="AC200" i="1"/>
  <c r="AB200" i="1"/>
  <c r="X200" i="1"/>
  <c r="Y200" i="1" s="1"/>
  <c r="Z200" i="1" s="1"/>
  <c r="AC348" i="1"/>
  <c r="AB348" i="1"/>
  <c r="AD348" i="1"/>
  <c r="X348" i="1"/>
  <c r="Y348" i="1" s="1"/>
  <c r="Z348" i="1" s="1"/>
  <c r="AD353" i="1"/>
  <c r="AC353" i="1"/>
  <c r="AB353" i="1"/>
  <c r="X353" i="1"/>
  <c r="Y353" i="1" s="1"/>
  <c r="Z353" i="1" s="1"/>
  <c r="AB257" i="1"/>
  <c r="AD257" i="1"/>
  <c r="AC257" i="1"/>
  <c r="X257" i="1"/>
  <c r="Y257" i="1" s="1"/>
  <c r="Z257" i="1" s="1"/>
  <c r="AC174" i="1"/>
  <c r="AB174" i="1"/>
  <c r="AD174" i="1"/>
  <c r="X174" i="1"/>
  <c r="Y174" i="1" s="1"/>
  <c r="Z174" i="1" s="1"/>
  <c r="X155" i="1"/>
  <c r="Y155" i="1" s="1"/>
  <c r="Z155" i="1" s="1"/>
  <c r="AD155" i="1"/>
  <c r="AC155" i="1"/>
  <c r="AB155" i="1"/>
  <c r="AC299" i="1"/>
  <c r="AB299" i="1"/>
  <c r="X299" i="1"/>
  <c r="AD299" i="1"/>
  <c r="X250" i="1"/>
  <c r="AC250" i="1"/>
  <c r="AB250" i="1"/>
  <c r="AD250" i="1"/>
  <c r="X209" i="1"/>
  <c r="Y209" i="1" s="1"/>
  <c r="Z209" i="1" s="1"/>
  <c r="AB209" i="1"/>
  <c r="AC209" i="1"/>
  <c r="AD209" i="1"/>
  <c r="AD115" i="1"/>
  <c r="X115" i="1"/>
  <c r="Y115" i="1" s="1"/>
  <c r="Z115" i="1" s="1"/>
  <c r="AC115" i="1"/>
  <c r="AB115" i="1"/>
  <c r="X259" i="1"/>
  <c r="Y259" i="1" s="1"/>
  <c r="Z259" i="1" s="1"/>
  <c r="AC259" i="1"/>
  <c r="AD259" i="1"/>
  <c r="AB259" i="1"/>
  <c r="Z301" i="1"/>
  <c r="Y301" i="1"/>
  <c r="X99" i="1"/>
  <c r="Y99" i="1" s="1"/>
  <c r="Z99" i="1" s="1"/>
  <c r="AD99" i="1"/>
  <c r="AC99" i="1"/>
  <c r="AB99" i="1"/>
  <c r="AC278" i="1"/>
  <c r="AB278" i="1"/>
  <c r="AD278" i="1"/>
  <c r="X278" i="1"/>
  <c r="Y278" i="1" s="1"/>
  <c r="Z278" i="1" s="1"/>
  <c r="X120" i="1"/>
  <c r="Y120" i="1" s="1"/>
  <c r="Z120" i="1" s="1"/>
  <c r="AD120" i="1"/>
  <c r="AC120" i="1"/>
  <c r="AB120" i="1"/>
  <c r="AD10" i="1"/>
  <c r="AC10" i="1"/>
  <c r="AB10" i="1"/>
  <c r="X10" i="1"/>
  <c r="Y10" i="1" s="1"/>
  <c r="Z10" i="1" s="1"/>
  <c r="X66" i="1"/>
  <c r="Y66" i="1" s="1"/>
  <c r="Z66" i="1" s="1"/>
  <c r="AC66" i="1"/>
  <c r="AB66" i="1"/>
  <c r="AD66" i="1"/>
  <c r="AD12" i="1"/>
  <c r="AC12" i="1"/>
  <c r="AB12" i="1"/>
  <c r="X12" i="1"/>
  <c r="Y12" i="1" s="1"/>
  <c r="Z12" i="1" s="1"/>
  <c r="AD358" i="1"/>
  <c r="AC358" i="1"/>
  <c r="AB358" i="1"/>
  <c r="X358" i="1"/>
  <c r="Y358" i="1" s="1"/>
  <c r="Z358" i="1" s="1"/>
  <c r="AB290" i="1"/>
  <c r="AD290" i="1"/>
  <c r="AC290" i="1"/>
  <c r="X290" i="1"/>
  <c r="Y290" i="1" s="1"/>
  <c r="Z290" i="1" s="1"/>
  <c r="X146" i="1"/>
  <c r="Y146" i="1" s="1"/>
  <c r="Z146" i="1" s="1"/>
  <c r="AD146" i="1"/>
  <c r="AC146" i="1"/>
  <c r="AB146" i="1"/>
  <c r="X222" i="1"/>
  <c r="Y222" i="1" s="1"/>
  <c r="Z222" i="1" s="1"/>
  <c r="AB222" i="1"/>
  <c r="AD222" i="1"/>
  <c r="AC222" i="1"/>
  <c r="X229" i="1"/>
  <c r="Y229" i="1" s="1"/>
  <c r="Z229" i="1" s="1"/>
  <c r="AD229" i="1"/>
  <c r="AC229" i="1"/>
  <c r="AB229" i="1"/>
  <c r="AD91" i="1"/>
  <c r="AC91" i="1"/>
  <c r="AB91" i="1"/>
  <c r="X91" i="1"/>
  <c r="Y91" i="1" s="1"/>
  <c r="Z91" i="1" s="1"/>
  <c r="AD21" i="1"/>
  <c r="AC21" i="1"/>
  <c r="AB21" i="1"/>
  <c r="X21" i="1"/>
  <c r="Y21" i="1" s="1"/>
  <c r="Z21" i="1" s="1"/>
  <c r="X74" i="1"/>
  <c r="Y74" i="1" s="1"/>
  <c r="Z74" i="1" s="1"/>
  <c r="AD74" i="1"/>
  <c r="AC74" i="1"/>
  <c r="AB74" i="1"/>
  <c r="X220" i="1"/>
  <c r="Y220" i="1" s="1"/>
  <c r="Z220" i="1" s="1"/>
  <c r="AD220" i="1"/>
  <c r="AC220" i="1"/>
  <c r="AB220" i="1"/>
  <c r="AB14" i="1"/>
  <c r="AC14" i="1"/>
  <c r="X14" i="1"/>
  <c r="Y14" i="1" s="1"/>
  <c r="Z14" i="1" s="1"/>
  <c r="AD14" i="1"/>
  <c r="AD287" i="1"/>
  <c r="X287" i="1"/>
  <c r="Y287" i="1" s="1"/>
  <c r="Z287" i="1" s="1"/>
  <c r="AB287" i="1"/>
  <c r="AC287" i="1"/>
  <c r="Z295" i="1"/>
  <c r="Y295" i="1"/>
  <c r="AD149" i="1"/>
  <c r="AC149" i="1"/>
  <c r="X149" i="1"/>
  <c r="Y149" i="1" s="1"/>
  <c r="Z149" i="1" s="1"/>
  <c r="AB149" i="1"/>
  <c r="AD374" i="1"/>
  <c r="AC374" i="1"/>
  <c r="AB374" i="1"/>
  <c r="X374" i="1"/>
  <c r="Y374" i="1" s="1"/>
  <c r="Z374" i="1" s="1"/>
  <c r="X249" i="1"/>
  <c r="Y249" i="1" s="1"/>
  <c r="Z249" i="1" s="1"/>
  <c r="AB249" i="1"/>
  <c r="AD249" i="1"/>
  <c r="AC249" i="1"/>
  <c r="AD199" i="1"/>
  <c r="AC199" i="1"/>
  <c r="AB199" i="1"/>
  <c r="X199" i="1"/>
  <c r="Y199" i="1" s="1"/>
  <c r="Z199" i="1" s="1"/>
  <c r="AD106" i="1"/>
  <c r="AC106" i="1"/>
  <c r="AB106" i="1"/>
  <c r="X106" i="1"/>
  <c r="Y106" i="1" s="1"/>
  <c r="Z106" i="1" s="1"/>
  <c r="AC345" i="1"/>
  <c r="X345" i="1"/>
  <c r="Y345" i="1" s="1"/>
  <c r="Z345" i="1" s="1"/>
  <c r="AD345" i="1"/>
  <c r="AB345" i="1"/>
  <c r="AC289" i="1"/>
  <c r="AB289" i="1"/>
  <c r="X289" i="1"/>
  <c r="Y289" i="1" s="1"/>
  <c r="Z289" i="1" s="1"/>
  <c r="AD289" i="1"/>
  <c r="AD93" i="1"/>
  <c r="AC93" i="1"/>
  <c r="X93" i="1"/>
  <c r="Y93" i="1" s="1"/>
  <c r="Z93" i="1" s="1"/>
  <c r="AB93" i="1"/>
  <c r="X76" i="1"/>
  <c r="Y76" i="1" s="1"/>
  <c r="Z76" i="1" s="1"/>
  <c r="AB76" i="1"/>
  <c r="AD76" i="1"/>
  <c r="AC76" i="1"/>
  <c r="Z307" i="1"/>
  <c r="Y307" i="1"/>
  <c r="AD20" i="1"/>
  <c r="AC20" i="1"/>
  <c r="AB20" i="1"/>
  <c r="X20" i="1"/>
  <c r="Y20" i="1" s="1"/>
  <c r="Z20" i="1" s="1"/>
  <c r="Z219" i="1"/>
  <c r="Y219" i="1"/>
  <c r="AB38" i="1"/>
  <c r="X38" i="1"/>
  <c r="Y38" i="1" s="1"/>
  <c r="Z38" i="1" s="1"/>
  <c r="AD38" i="1"/>
  <c r="AC38" i="1"/>
  <c r="Y298" i="1"/>
  <c r="Z298" i="1"/>
  <c r="E4" i="2"/>
  <c r="Y253" i="1" l="1"/>
  <c r="G9" i="2"/>
  <c r="H4" i="2"/>
  <c r="Z297" i="1"/>
  <c r="Y297" i="1"/>
  <c r="Y294" i="1"/>
  <c r="Z294" i="1"/>
  <c r="Z212" i="1"/>
  <c r="Y212" i="1"/>
  <c r="Z321" i="1"/>
  <c r="Y321" i="1"/>
  <c r="Y232" i="1"/>
  <c r="Z232" i="1"/>
  <c r="Z316" i="1"/>
  <c r="Y316" i="1"/>
  <c r="Y302" i="1"/>
  <c r="Z302" i="1"/>
  <c r="Z320" i="1"/>
  <c r="Y320" i="1"/>
  <c r="Z250" i="1"/>
  <c r="Y250" i="1"/>
  <c r="Z296" i="1"/>
  <c r="Y296" i="1"/>
  <c r="Y311" i="1"/>
  <c r="Z311" i="1"/>
  <c r="Z299" i="1"/>
  <c r="Y299" i="1"/>
  <c r="Z319" i="1"/>
  <c r="Y319" i="1"/>
  <c r="Z211" i="1"/>
  <c r="Y211" i="1"/>
  <c r="Y317" i="1"/>
  <c r="Z317" i="1"/>
  <c r="Z218" i="1"/>
  <c r="Y218" i="1"/>
  <c r="Z252" i="1"/>
  <c r="Y252" i="1"/>
  <c r="Y322" i="1"/>
  <c r="Z322" i="1"/>
</calcChain>
</file>

<file path=xl/sharedStrings.xml><?xml version="1.0" encoding="utf-8"?>
<sst xmlns="http://schemas.openxmlformats.org/spreadsheetml/2006/main" count="2775" uniqueCount="700">
  <si>
    <t>_x001B_</t>
  </si>
  <si>
    <t>총괄
번호</t>
  </si>
  <si>
    <t>판매일</t>
  </si>
  <si>
    <t>메모</t>
  </si>
  <si>
    <t>수량</t>
  </si>
  <si>
    <t>총액</t>
  </si>
  <si>
    <t>물품</t>
  </si>
  <si>
    <t>입금</t>
  </si>
  <si>
    <t>입금일</t>
  </si>
  <si>
    <t>계산서</t>
  </si>
  <si>
    <t>견적서</t>
  </si>
  <si>
    <t>품목</t>
  </si>
  <si>
    <t>후가공</t>
  </si>
  <si>
    <t>사이즈</t>
  </si>
  <si>
    <t>기본 금액(부가세 제외)*</t>
  </si>
  <si>
    <t>발주금액</t>
  </si>
  <si>
    <t>부가세</t>
  </si>
  <si>
    <t>배송비</t>
  </si>
  <si>
    <t>배송부가세</t>
  </si>
  <si>
    <t>외주업체</t>
  </si>
  <si>
    <t>담당자</t>
  </si>
  <si>
    <t>마진</t>
  </si>
  <si>
    <t>순수마진</t>
  </si>
  <si>
    <t>마진율</t>
  </si>
  <si>
    <t>원가</t>
  </si>
  <si>
    <t>실제</t>
  </si>
  <si>
    <t>최종</t>
  </si>
  <si>
    <t>월</t>
  </si>
  <si>
    <t>일</t>
  </si>
  <si>
    <t>제작</t>
  </si>
  <si>
    <t>확인</t>
  </si>
  <si>
    <t>남는돈</t>
  </si>
  <si>
    <t>내야할 돈</t>
  </si>
  <si>
    <t>오메이리더스</t>
  </si>
  <si>
    <t>반누보</t>
  </si>
  <si>
    <t>90*50</t>
  </si>
  <si>
    <t>애즈</t>
  </si>
  <si>
    <t>세계교육문화원</t>
  </si>
  <si>
    <t>현수막</t>
  </si>
  <si>
    <t>열재단</t>
  </si>
  <si>
    <t>500*90</t>
  </si>
  <si>
    <t>조아라</t>
  </si>
  <si>
    <t>판넬</t>
  </si>
  <si>
    <t>후원용지</t>
  </si>
  <si>
    <t>b5</t>
  </si>
  <si>
    <t>명함</t>
  </si>
  <si>
    <t>성원</t>
  </si>
  <si>
    <t>함께하는사랑밭</t>
  </si>
  <si>
    <t>사원증세트</t>
  </si>
  <si>
    <t>54*86</t>
  </si>
  <si>
    <t>제이</t>
  </si>
  <si>
    <t>레이저타공/귀도리</t>
  </si>
  <si>
    <t>생각밖으로</t>
  </si>
  <si>
    <t>팝셋</t>
  </si>
  <si>
    <t>사원증</t>
  </si>
  <si>
    <t>세트</t>
  </si>
  <si>
    <t>사랑밭교회</t>
  </si>
  <si>
    <t>x</t>
  </si>
  <si>
    <t>쫄대</t>
  </si>
  <si>
    <t>235*152</t>
  </si>
  <si>
    <t>290*152</t>
  </si>
  <si>
    <t>280*123</t>
  </si>
  <si>
    <t>220*130</t>
  </si>
  <si>
    <t>100*70</t>
  </si>
  <si>
    <t>250*50</t>
  </si>
  <si>
    <t>떡제본</t>
  </si>
  <si>
    <t>박보애주임</t>
  </si>
  <si>
    <t>리플렛</t>
  </si>
  <si>
    <t>모조180/양면/병풍/오시3줄</t>
  </si>
  <si>
    <t>400*200</t>
  </si>
  <si>
    <t>해피기버</t>
  </si>
  <si>
    <t>김현조</t>
  </si>
  <si>
    <t>a2</t>
  </si>
  <si>
    <t>포스터</t>
  </si>
  <si>
    <t>디자인</t>
  </si>
  <si>
    <t>a3</t>
  </si>
  <si>
    <t>스티커</t>
  </si>
  <si>
    <t>강력접착</t>
  </si>
  <si>
    <t>700*90</t>
  </si>
  <si>
    <t>배너</t>
  </si>
  <si>
    <t>거치대x</t>
  </si>
  <si>
    <t>60*180</t>
  </si>
  <si>
    <t>600*400</t>
  </si>
  <si>
    <t>300*60</t>
  </si>
  <si>
    <t>반석</t>
  </si>
  <si>
    <t>해피홈보육원</t>
  </si>
  <si>
    <t>양면인쇄</t>
  </si>
  <si>
    <t>은광학교</t>
  </si>
  <si>
    <t>졸업식</t>
  </si>
  <si>
    <t>860*64</t>
  </si>
  <si>
    <t>입학식</t>
  </si>
  <si>
    <t>포토북</t>
  </si>
  <si>
    <t>스프링/앞뒤pvc제본/무광코팅(표지,내지)</t>
  </si>
  <si>
    <t>200*200</t>
  </si>
  <si>
    <t>246*85</t>
  </si>
  <si>
    <t>차정옥지부장</t>
  </si>
  <si>
    <t>중보기도단</t>
  </si>
  <si>
    <t>단면 전단지</t>
  </si>
  <si>
    <t>모조지 100g</t>
  </si>
  <si>
    <t>단면인쇄</t>
  </si>
  <si>
    <t>a4</t>
  </si>
  <si>
    <t>피유미디어</t>
  </si>
  <si>
    <t>1월 cg료</t>
  </si>
  <si>
    <t>해피홈</t>
  </si>
  <si>
    <t>김민수</t>
  </si>
  <si>
    <t>김혜순</t>
  </si>
  <si>
    <t>포인트투어</t>
  </si>
  <si>
    <t>상단벨크로/하단타공</t>
  </si>
  <si>
    <t>유포+포맥스3t</t>
  </si>
  <si>
    <t>500*700</t>
  </si>
  <si>
    <t>후원용지(80권)</t>
  </si>
  <si>
    <t>ncr</t>
  </si>
  <si>
    <t>월드닉스</t>
  </si>
  <si>
    <t>일반코팅</t>
  </si>
  <si>
    <t>권현정</t>
  </si>
  <si>
    <t>예림학교</t>
  </si>
  <si>
    <t>500*80</t>
  </si>
  <si>
    <t>인프린팅</t>
  </si>
  <si>
    <t>400*60</t>
  </si>
  <si>
    <t>450*300</t>
  </si>
  <si>
    <t>대</t>
  </si>
  <si>
    <t>3t포+유포부착</t>
  </si>
  <si>
    <t>팝셋+귀도리</t>
  </si>
  <si>
    <t>_x0008_애즈</t>
  </si>
  <si>
    <t>양면</t>
  </si>
  <si>
    <t>아크릴현판</t>
  </si>
  <si>
    <t>300*200</t>
  </si>
  <si>
    <t>민호현수막</t>
  </si>
  <si>
    <t>솔벤현수막</t>
  </si>
  <si>
    <t>366*90</t>
  </si>
  <si>
    <t>연희현수막</t>
  </si>
  <si>
    <t>곱빠</t>
  </si>
  <si>
    <t>명함(비코팅)</t>
  </si>
  <si>
    <t>비코팅</t>
  </si>
  <si>
    <t>조끼</t>
  </si>
  <si>
    <t>팀즈</t>
  </si>
  <si>
    <t>장병주</t>
  </si>
  <si>
    <t>조덕순지부장</t>
  </si>
  <si>
    <t>문경찬</t>
  </si>
  <si>
    <t>280*40</t>
  </si>
  <si>
    <t>윤관</t>
  </si>
  <si>
    <t>200*50</t>
  </si>
  <si>
    <t>반접지</t>
  </si>
  <si>
    <t>사방타공</t>
  </si>
  <si>
    <t>김형석</t>
  </si>
  <si>
    <t>페트지</t>
  </si>
  <si>
    <t>사방타공_거치대x</t>
  </si>
  <si>
    <t>광폭현수막</t>
  </si>
  <si>
    <t>책상현수막</t>
  </si>
  <si>
    <t>벨크로+타공</t>
  </si>
  <si>
    <t>226*90</t>
  </si>
  <si>
    <t>365*85</t>
  </si>
  <si>
    <t>아르떼</t>
  </si>
  <si>
    <t>4단병풍</t>
  </si>
  <si>
    <t>전단지</t>
  </si>
  <si>
    <t>판넬 3t</t>
  </si>
  <si>
    <t>594*420</t>
  </si>
  <si>
    <t>유포지</t>
  </si>
  <si>
    <t>재단</t>
  </si>
  <si>
    <t>주영교회</t>
  </si>
  <si>
    <t>375*60</t>
  </si>
  <si>
    <t>김진하</t>
  </si>
  <si>
    <t>점프킹</t>
  </si>
  <si>
    <t>300*50</t>
  </si>
  <si>
    <t>400*90</t>
  </si>
  <si>
    <t>1000*90</t>
  </si>
  <si>
    <t>일반명함</t>
  </si>
  <si>
    <t>그로웨이 후원용지(100권)</t>
  </si>
  <si>
    <t>ncr / 후면인쇄</t>
  </si>
  <si>
    <t>소식지</t>
  </si>
  <si>
    <t>사원증(박준영)</t>
  </si>
  <si>
    <t>이아람</t>
  </si>
  <si>
    <t>배너세트</t>
  </si>
  <si>
    <t>점자명함</t>
  </si>
  <si>
    <t>소봉투</t>
  </si>
  <si>
    <t>김정호</t>
  </si>
  <si>
    <t>850*64</t>
  </si>
  <si>
    <t>이승재</t>
  </si>
  <si>
    <t>함께하는사랑밭 인천문화센터</t>
  </si>
  <si>
    <t>모조150</t>
  </si>
  <si>
    <t>박소민</t>
  </si>
  <si>
    <t>대봉투</t>
  </si>
  <si>
    <t>2024 0617 리플렛</t>
  </si>
  <si>
    <t>최현미</t>
  </si>
  <si>
    <t>400*70</t>
  </si>
  <si>
    <t>대교에듀캠프</t>
  </si>
  <si>
    <t>박정문</t>
  </si>
  <si>
    <t>실내용/단면</t>
  </si>
  <si>
    <t>80*60</t>
  </si>
  <si>
    <t>홍기웅</t>
  </si>
  <si>
    <t>250*60</t>
  </si>
  <si>
    <t>300*70</t>
  </si>
  <si>
    <t>줄미싱</t>
  </si>
  <si>
    <t>280*60</t>
  </si>
  <si>
    <t>160*60</t>
  </si>
  <si>
    <t>400*80</t>
  </si>
  <si>
    <t>김미정</t>
  </si>
  <si>
    <t>애즈랜드</t>
  </si>
  <si>
    <t>명함(신인철)</t>
  </si>
  <si>
    <t>서미경</t>
  </si>
  <si>
    <t>도무송 스티커</t>
  </si>
  <si>
    <t>세계행복나눔태권도</t>
  </si>
  <si>
    <t>상장케이스</t>
  </si>
  <si>
    <t>상장다모아</t>
  </si>
  <si>
    <t>김형진</t>
  </si>
  <si>
    <t>290*60</t>
  </si>
  <si>
    <t>세미포크로스</t>
  </si>
  <si>
    <t>은박</t>
  </si>
  <si>
    <t>구미현</t>
  </si>
  <si>
    <t>120*165</t>
  </si>
  <si>
    <t>148*210</t>
  </si>
  <si>
    <t>쿠폰</t>
  </si>
  <si>
    <t>김진혁</t>
  </si>
  <si>
    <t>260*60</t>
  </si>
  <si>
    <t>인디고월드</t>
  </si>
  <si>
    <t>엽서</t>
  </si>
  <si>
    <t>권한숙</t>
  </si>
  <si>
    <t>300*80</t>
  </si>
  <si>
    <t>한미영</t>
  </si>
  <si>
    <t>200*60</t>
  </si>
  <si>
    <t>ㅇ</t>
  </si>
  <si>
    <t>아프리카 출장</t>
  </si>
  <si>
    <t>180*60</t>
  </si>
  <si>
    <t>150*100</t>
  </si>
  <si>
    <t>600*420</t>
  </si>
  <si>
    <t>휴먼에듀</t>
  </si>
  <si>
    <t>사방한번접어미싱+타공10개</t>
  </si>
  <si>
    <t>400*300</t>
  </si>
  <si>
    <t>카드</t>
  </si>
  <si>
    <t>v</t>
  </si>
  <si>
    <t>박보애</t>
  </si>
  <si>
    <t>_x0008_자수</t>
  </si>
  <si>
    <t>벨크로</t>
  </si>
  <si>
    <t>50*35</t>
  </si>
  <si>
    <t>와펜몰</t>
  </si>
  <si>
    <t>차정옥</t>
  </si>
  <si>
    <t>그림책도서관</t>
  </si>
  <si>
    <t>박상준</t>
  </si>
  <si>
    <t>서연탑메탈</t>
  </si>
  <si>
    <t>300*40</t>
  </si>
  <si>
    <t>350*70</t>
  </si>
  <si>
    <t>220*120</t>
  </si>
  <si>
    <t>윤준석</t>
  </si>
  <si>
    <t>임지혜</t>
  </si>
  <si>
    <t>신현정</t>
  </si>
  <si>
    <t>에폭시</t>
  </si>
  <si>
    <t>400*100</t>
  </si>
  <si>
    <t>180*40</t>
  </si>
  <si>
    <t>조덕순</t>
  </si>
  <si>
    <t>디자인원본</t>
  </si>
  <si>
    <t>이규석</t>
  </si>
  <si>
    <t>배너(실내거치대 3개)</t>
  </si>
  <si>
    <t>실내세트</t>
  </si>
  <si>
    <t>포스터3종</t>
  </si>
  <si>
    <t>스노우지250g</t>
  </si>
  <si>
    <t>재단/코팅없음</t>
  </si>
  <si>
    <t>b4</t>
  </si>
  <si>
    <t>구춘진</t>
  </si>
  <si>
    <t>12명 명함</t>
  </si>
  <si>
    <t>방정환</t>
  </si>
  <si>
    <t>KRX 금잡이교실</t>
  </si>
  <si>
    <t>150*600</t>
  </si>
  <si>
    <t>퀵</t>
  </si>
  <si>
    <t>십자가에서배우자</t>
  </si>
  <si>
    <t>정미자</t>
  </si>
  <si>
    <t>하나사랑 떡나눔</t>
  </si>
  <si>
    <t>취약계층 식료품전달</t>
  </si>
  <si>
    <t>하바이아나스 신발 후원물품 전달식</t>
  </si>
  <si>
    <t>원본제공</t>
  </si>
  <si>
    <t>하나태권도</t>
  </si>
  <si>
    <t>하나태권도 신년회</t>
  </si>
  <si>
    <t>450*70</t>
  </si>
  <si>
    <t>12월 CG료</t>
  </si>
  <si>
    <t>신한꿈도담터</t>
  </si>
  <si>
    <t>해피기버 스카시 현판</t>
  </si>
  <si>
    <t>원동혁</t>
  </si>
  <si>
    <t>홍천강 꽁꽁 축제</t>
  </si>
  <si>
    <t>300*240</t>
  </si>
  <si>
    <t>연하장(800장)</t>
  </si>
  <si>
    <t>아코펙300</t>
  </si>
  <si>
    <t>100*148</t>
  </si>
  <si>
    <t>함재훈</t>
  </si>
  <si>
    <t xml:space="preserve"> x</t>
  </si>
  <si>
    <t>안정호</t>
  </si>
  <si>
    <t>후원용지(40권)</t>
  </si>
  <si>
    <t>_x0008_새해맞이 만두만들기</t>
  </si>
  <si>
    <t>카드결제</t>
  </si>
  <si>
    <t>한태호</t>
  </si>
  <si>
    <t>사원증 한태호, 최현석, 손시경, 최인화</t>
  </si>
  <si>
    <t>부흥하는 교회(2월)</t>
  </si>
  <si>
    <t>태백산 눈축제</t>
  </si>
  <si>
    <t>아이들과미래재단</t>
  </si>
  <si>
    <t>장학사업기부금전달식</t>
  </si>
  <si>
    <t>350*63</t>
  </si>
  <si>
    <t>신해성</t>
  </si>
  <si>
    <t>1000*500</t>
  </si>
  <si>
    <t>키르기스스탄 / 로고 지도</t>
  </si>
  <si>
    <t>208*120</t>
  </si>
  <si>
    <t>키르기스스탄 / 어울림 합창단, 고려한국어한당</t>
  </si>
  <si>
    <t>키르기스스탄 / 장학금전달</t>
  </si>
  <si>
    <t>90*63</t>
  </si>
  <si>
    <t>키르기스스탄 / 한국 파티</t>
  </si>
  <si>
    <t>빛을 들고 세상으로</t>
  </si>
  <si>
    <t>이성현</t>
  </si>
  <si>
    <t>홀리뉴젠</t>
  </si>
  <si>
    <t>500*300</t>
  </si>
  <si>
    <t>25년 목표달성</t>
  </si>
  <si>
    <t>인포메이션</t>
  </si>
  <si>
    <t>권경자(명함)</t>
  </si>
  <si>
    <t>권경자(사원증)</t>
  </si>
  <si>
    <t>주영희(명함)</t>
  </si>
  <si>
    <t>주영희(사원증)</t>
  </si>
  <si>
    <t>포인트 명함</t>
  </si>
  <si>
    <t>200장</t>
  </si>
  <si>
    <t>체크시트</t>
  </si>
  <si>
    <t>40권씩</t>
  </si>
  <si>
    <t>어학당</t>
  </si>
  <si>
    <t>음악교실</t>
  </si>
  <si>
    <t>태권도</t>
  </si>
  <si>
    <t>냉방기지원</t>
  </si>
  <si>
    <t>_x0008_무료급식</t>
  </si>
  <si>
    <t>_x0008_필리핀 교육문화지원</t>
  </si>
  <si>
    <t>따뜻한 연탄나눔</t>
  </si>
  <si>
    <t>합성지</t>
  </si>
  <si>
    <t>중증치료아동지원 업무협약식</t>
  </si>
  <si>
    <t>비누만들기캠페인</t>
  </si>
  <si>
    <t>제주 겨울방학여행</t>
  </si>
  <si>
    <t>해피기버(한태호)</t>
  </si>
  <si>
    <t>명함(최수호,박지원,이성찬,최현석)</t>
  </si>
  <si>
    <t>든든한희망캠프</t>
  </si>
  <si>
    <t>퇴직교원 멘토 양성 입문</t>
  </si>
  <si>
    <t>유익균 가득 간장 된장 담그기</t>
  </si>
  <si>
    <t>340*100</t>
  </si>
  <si>
    <t>차정옥(문경찬)</t>
  </si>
  <si>
    <t>226*75</t>
  </si>
  <si>
    <t>후원용지(200권)</t>
  </si>
  <si>
    <t>태초먹거리</t>
  </si>
  <si>
    <t>44p</t>
  </si>
  <si>
    <t>인프</t>
  </si>
  <si>
    <t>민호10/연희10</t>
  </si>
  <si>
    <t>플립플라워</t>
  </si>
  <si>
    <t>스노우250</t>
  </si>
  <si>
    <t>105*145</t>
  </si>
  <si>
    <t>세이브더칠드런</t>
  </si>
  <si>
    <t>너의 새로운 시작을 응원해</t>
  </si>
  <si>
    <t>강력(500장)</t>
  </si>
  <si>
    <t>430*430</t>
  </si>
  <si>
    <t>정유영과장</t>
  </si>
  <si>
    <t>부흥의시작</t>
  </si>
  <si>
    <t>알비노 선크림</t>
  </si>
  <si>
    <t>동화책 교구(하나사랑봉사단)</t>
  </si>
  <si>
    <t>인쇄물만</t>
  </si>
  <si>
    <t>사물놀이 타타</t>
  </si>
  <si>
    <t>서랍장 사진</t>
  </si>
  <si>
    <t>1t포맥스+유포부착</t>
  </si>
  <si>
    <t>740*710</t>
  </si>
  <si>
    <t>740*310</t>
  </si>
  <si>
    <t>최경호</t>
  </si>
  <si>
    <t>이주영</t>
  </si>
  <si>
    <t>김현조, 김한길</t>
  </si>
  <si>
    <t>아크릴부착판넬</t>
  </si>
  <si>
    <t>포맥스</t>
  </si>
  <si>
    <t>아크릴부착</t>
  </si>
  <si>
    <t>쿠폰 명함</t>
  </si>
  <si>
    <t>일반</t>
  </si>
  <si>
    <t>후원가입신청서(화상환자지원)</t>
  </si>
  <si>
    <t>양면인쇄/접지x</t>
  </si>
  <si>
    <t>강진아</t>
  </si>
  <si>
    <t>쿠폰 4종</t>
  </si>
  <si>
    <t>캄보디아 출장</t>
  </si>
  <si>
    <t>기린</t>
  </si>
  <si>
    <t>1t포</t>
  </si>
  <si>
    <t>모양재단</t>
  </si>
  <si>
    <t>최경호, 김은숙, 주유라</t>
  </si>
  <si>
    <t>X</t>
  </si>
  <si>
    <t>업무협약식</t>
  </si>
  <si>
    <t>연희 민호 책상현수막</t>
  </si>
  <si>
    <t>224*95</t>
  </si>
  <si>
    <t>판넬(산불 긴급 구호) / 김정옥</t>
  </si>
  <si>
    <t>김정옥</t>
  </si>
  <si>
    <t>판넬(산불 긴급 구호) / 제주</t>
  </si>
  <si>
    <t>100포인트 쿠폰(500장)</t>
  </si>
  <si>
    <t>일반코팅명함</t>
  </si>
  <si>
    <t>플립플라워/꽃아당</t>
  </si>
  <si>
    <t>하나사랑봉사단 소상공인 지원 봉사활동</t>
  </si>
  <si>
    <t>사방타공/거치대x</t>
  </si>
  <si>
    <t>판넬(산불 긴급 구호) / 서울</t>
  </si>
  <si>
    <t>지희정</t>
  </si>
  <si>
    <t>신인철, 조정재</t>
  </si>
  <si>
    <t>대전생활과학고</t>
  </si>
  <si>
    <t>연차보고서 디자인</t>
  </si>
  <si>
    <t>양은영, 양은하</t>
  </si>
  <si>
    <t>100원 쿠폰(500장)</t>
  </si>
  <si>
    <t>코팅</t>
  </si>
  <si>
    <t>태권도 업무협약식</t>
  </si>
  <si>
    <t>상단벨+타공</t>
  </si>
  <si>
    <t>214*85</t>
  </si>
  <si>
    <t>3t+유포</t>
  </si>
  <si>
    <t>기부스토어 이브자리</t>
  </si>
  <si>
    <t>임인숙 장시현</t>
  </si>
  <si>
    <t>팝셋귀돌이</t>
  </si>
  <si>
    <t>KOICA 현지조사</t>
  </si>
  <si>
    <t>에티오피아 줄넘기</t>
  </si>
  <si>
    <t>에티오피아 교육용품</t>
  </si>
  <si>
    <t>역사문화탐방</t>
  </si>
  <si>
    <t>벨크로 타공</t>
  </si>
  <si>
    <t>다문화가정 공부방 및 주거환경개선</t>
  </si>
  <si>
    <t>다다예술학교, 인제특수교육교과연구회 업무협약식</t>
  </si>
  <si>
    <t>기부스토어</t>
  </si>
  <si>
    <t>다보</t>
  </si>
  <si>
    <t>전혜림</t>
  </si>
  <si>
    <t>후원용지(1300장)</t>
  </si>
  <si>
    <t>180*257</t>
  </si>
  <si>
    <t>지역아동센터 업무협약식</t>
  </si>
  <si>
    <t>오까네 의류물품 기부</t>
  </si>
  <si>
    <t>기부스토어 나린뷰티 / 한다운</t>
  </si>
  <si>
    <t>명함 김은희</t>
  </si>
  <si>
    <t>팝셋귀도리</t>
  </si>
  <si>
    <t>몽골 취약계층 후원</t>
  </si>
  <si>
    <t>기부스토어 후원용지</t>
  </si>
  <si>
    <t>뉴플러스100g</t>
  </si>
  <si>
    <t>캠페이너증</t>
  </si>
  <si>
    <t>상호협력을 위한 업무협약식(미래복지경영)</t>
  </si>
  <si>
    <t>애드</t>
  </si>
  <si>
    <t>김동원</t>
  </si>
  <si>
    <t>작은공</t>
  </si>
  <si>
    <t>인쇄</t>
  </si>
  <si>
    <t>티셔츠</t>
  </si>
  <si>
    <t>그린벧엘공동체 업무협약식</t>
  </si>
  <si>
    <t>WECA 서포터즈 1기 해단식</t>
  </si>
  <si>
    <t>기부스토어 금강막국수, 에스제이자동차공업사</t>
  </si>
  <si>
    <t>시트지/폼보드</t>
  </si>
  <si>
    <t>태권도지원사업</t>
  </si>
  <si>
    <t>꽃아당 생일축하 감사카드</t>
  </si>
  <si>
    <t>스노우</t>
  </si>
  <si>
    <t>부스환불</t>
  </si>
  <si>
    <t>사원증세트(이승주민지홍)</t>
  </si>
  <si>
    <t>책상현수막(효민이)</t>
  </si>
  <si>
    <t>벨크로+하단타공</t>
  </si>
  <si>
    <t>판넬(효민이)</t>
  </si>
  <si>
    <t>3t포+유포부착+라운드</t>
  </si>
  <si>
    <t>양면부착</t>
  </si>
  <si>
    <t>봄나들이 가봄</t>
  </si>
  <si>
    <t>함께하는사랑밭 인천</t>
  </si>
  <si>
    <t>함께 피어나는 세계</t>
  </si>
  <si>
    <t>450*250</t>
  </si>
  <si>
    <t>이시효</t>
  </si>
  <si>
    <t>주식회사 라이방</t>
  </si>
  <si>
    <t>카드라이뷰(1000장)</t>
  </si>
  <si>
    <t>디자인비 20,000</t>
  </si>
  <si>
    <t>에듀</t>
  </si>
  <si>
    <t>하나금융그룹 창경궁</t>
  </si>
  <si>
    <t>모양판넬</t>
  </si>
  <si>
    <t>400*400</t>
  </si>
  <si>
    <t>정은진</t>
  </si>
  <si>
    <t>300*300</t>
  </si>
  <si>
    <t>400*330</t>
  </si>
  <si>
    <t>500*110</t>
  </si>
  <si>
    <t>디지털인쇄</t>
  </si>
  <si>
    <t>장기요양분야 현장사례심층탐구</t>
  </si>
  <si>
    <t>100포인트</t>
  </si>
  <si>
    <t>200포인트, 500포인트</t>
  </si>
  <si>
    <t>승기 책상현수막(천안)</t>
  </si>
  <si>
    <t>승기 판넬(천안)</t>
  </si>
  <si>
    <t>미혼모가정여성용품지원(해피빈)</t>
  </si>
  <si>
    <t>경상지역 지역아동센터</t>
  </si>
  <si>
    <t>경상지부 현판</t>
  </si>
  <si>
    <t>현판</t>
  </si>
  <si>
    <t>290*197</t>
  </si>
  <si>
    <t>경동대학교 외국인 유학생 장학금 전달식</t>
  </si>
  <si>
    <t>김은희</t>
  </si>
  <si>
    <t>경동대학교 외국인 유학생 플로깅 봉사활동</t>
  </si>
  <si>
    <t>500*65</t>
  </si>
  <si>
    <t>무명아기</t>
  </si>
  <si>
    <t>김보은</t>
  </si>
  <si>
    <t>부분코팅 명함</t>
  </si>
  <si>
    <t>명함/양면인쇄</t>
  </si>
  <si>
    <t>전달식 판넬</t>
  </si>
  <si>
    <t>판넬+액자</t>
  </si>
  <si>
    <t>의료장학금 전달</t>
  </si>
  <si>
    <t>조끼(하계용) 제작상품</t>
  </si>
  <si>
    <t>태극기 자리 벨크로(보들이)</t>
  </si>
  <si>
    <t>축구(명지대)</t>
  </si>
  <si>
    <t>거치대 x</t>
  </si>
  <si>
    <t>포토월</t>
  </si>
  <si>
    <t>298-238</t>
  </si>
  <si>
    <t>장시현</t>
  </si>
  <si>
    <t>국립현충원 묘역정화 봉사</t>
  </si>
  <si>
    <t>200*70</t>
  </si>
  <si>
    <t>해외봉사단 현지사전조사</t>
  </si>
  <si>
    <t>인광</t>
  </si>
  <si>
    <t>고성을걸어보고서</t>
  </si>
  <si>
    <t>에이전시 책상현수막</t>
  </si>
  <si>
    <t>210*95</t>
  </si>
  <si>
    <t>부분코팅 명함(지방지부)</t>
  </si>
  <si>
    <t>하루 0원을 영원히 추방하자!</t>
  </si>
  <si>
    <t>280*55/265*40</t>
  </si>
  <si>
    <t>아무도 만나지 못한 하루</t>
  </si>
  <si>
    <t>280*55</t>
  </si>
  <si>
    <t>기부스토어(황후약손마사지)</t>
  </si>
  <si>
    <t>원형스티커(500장)</t>
  </si>
  <si>
    <t>95*95</t>
  </si>
  <si>
    <t>권한숙(월드닉스)</t>
  </si>
  <si>
    <t>고객관리카드(500장)</t>
  </si>
  <si>
    <t>스노우(명함용)</t>
  </si>
  <si>
    <t>변하영, 이새롬, 정미자</t>
  </si>
  <si>
    <t>반누보+귀도리</t>
  </si>
  <si>
    <t>평택지역아동센터 업무협약식</t>
  </si>
  <si>
    <t>취약계층 난방비 지원</t>
  </si>
  <si>
    <t>지구런</t>
  </si>
  <si>
    <t>200*240</t>
  </si>
  <si>
    <t xml:space="preserve"> 사회복지관종사자 해외연수</t>
  </si>
  <si>
    <t>이수진</t>
  </si>
  <si>
    <t>2025 통합교육</t>
  </si>
  <si>
    <t>김순미</t>
  </si>
  <si>
    <t>장미축제</t>
  </si>
  <si>
    <t>보치아연맹</t>
  </si>
  <si>
    <t>보치아 종목 인천광역시 대표 선발전</t>
  </si>
  <si>
    <t>600*60</t>
  </si>
  <si>
    <t>나눔기획팀 조정재팀장</t>
  </si>
  <si>
    <t>부분코팅</t>
  </si>
  <si>
    <t>나눔기획팀 문경찬</t>
  </si>
  <si>
    <t>김복준교수 해피드림 토크콘서트</t>
  </si>
  <si>
    <t>설우재</t>
  </si>
  <si>
    <t>사원증(지방지부포함)</t>
  </si>
  <si>
    <t>목걸이(인쇄+릴클립)</t>
  </si>
  <si>
    <t>(사원증+케이스)</t>
  </si>
  <si>
    <t>태극기 자수 / 르완다 자수</t>
  </si>
  <si>
    <t>윤로운/회사명함</t>
  </si>
  <si>
    <t>기부스토어 샘플 3건(나린뷰티, 삼목카페, 이브자리)</t>
  </si>
  <si>
    <t>페이스투코리아 사원증</t>
  </si>
  <si>
    <t>후원현수막(책상현수막)</t>
  </si>
  <si>
    <t>서포터즈 1기 캄보디아 봉사</t>
  </si>
  <si>
    <t>신한투자증권과 함께하는 따뜻한 나눔활동</t>
  </si>
  <si>
    <t>해피빈 기부자, 김치나눔, 아동식품키트지원</t>
  </si>
  <si>
    <t>구로구 지역아동센터 Mou협약식</t>
  </si>
  <si>
    <t>여름캠프</t>
  </si>
  <si>
    <t>800*64</t>
  </si>
  <si>
    <t>최규연 명함</t>
  </si>
  <si>
    <t>해피박스 전달</t>
  </si>
  <si>
    <t>중국 행사 현수막</t>
  </si>
  <si>
    <t>1500*60</t>
  </si>
  <si>
    <t>인강</t>
  </si>
  <si>
    <t>900*40</t>
  </si>
  <si>
    <t>중국 행사 배너세트</t>
  </si>
  <si>
    <t>배너세트(실내용)</t>
  </si>
  <si>
    <t>400*40</t>
  </si>
  <si>
    <t>700*60</t>
  </si>
  <si>
    <t>350*60</t>
  </si>
  <si>
    <t>700*400</t>
  </si>
  <si>
    <t>중국 행사 퀵비용</t>
  </si>
  <si>
    <t>Ncr</t>
  </si>
  <si>
    <t>제주지부 명함</t>
  </si>
  <si>
    <t>아크릴</t>
  </si>
  <si>
    <t>줄넘기</t>
  </si>
  <si>
    <t>줄넘기 쿠폰</t>
  </si>
  <si>
    <t>초강력 스티커</t>
  </si>
  <si>
    <t>하나금유그룹 행복상자 지원</t>
  </si>
  <si>
    <t>월드프렌즈코리아</t>
  </si>
  <si>
    <t>500*60</t>
  </si>
  <si>
    <t>손건우</t>
  </si>
  <si>
    <t>메가프린트</t>
  </si>
  <si>
    <t>명함/부분코팅</t>
  </si>
  <si>
    <t>마지막 CG료</t>
  </si>
  <si>
    <t>영양만점 싸이언스 키친</t>
  </si>
  <si>
    <t>평택휴게소 시원한 여름나기</t>
  </si>
  <si>
    <t>올인원 중국캠프</t>
  </si>
  <si>
    <t>이성민 사원증</t>
  </si>
  <si>
    <t>더위탈출 해피홈</t>
  </si>
  <si>
    <t>롯데월드나들이</t>
  </si>
  <si>
    <t>강준</t>
  </si>
  <si>
    <t>하나금융그룹 행복상자</t>
  </si>
  <si>
    <t>꾸물꿈을 탐험대</t>
  </si>
  <si>
    <t>60*810</t>
  </si>
  <si>
    <t>피현적 디렉터파이 홍보대사</t>
  </si>
  <si>
    <t>3t+유포부착</t>
  </si>
  <si>
    <t>정지윤 체육특기생 장학금지원</t>
  </si>
  <si>
    <t>2t+유포부착</t>
  </si>
  <si>
    <t>휴식 현판</t>
  </si>
  <si>
    <t>백색아크릴 5t+양면테이프</t>
  </si>
  <si>
    <t>UV인쇄</t>
  </si>
  <si>
    <t>명함(김혜민)</t>
  </si>
  <si>
    <t>경희삼성한의원</t>
  </si>
  <si>
    <t>병원명함</t>
  </si>
  <si>
    <t>경희삼성</t>
  </si>
  <si>
    <t>권용철 명함</t>
  </si>
  <si>
    <t>카드명함(화이트)</t>
  </si>
  <si>
    <t>84*56</t>
  </si>
  <si>
    <t>지수미 고양주 최현미 명함</t>
  </si>
  <si>
    <t>지수미 고양주 최현미 사원증</t>
  </si>
  <si>
    <t>봉투</t>
  </si>
  <si>
    <t>자켓봉투</t>
  </si>
  <si>
    <t>자켓</t>
  </si>
  <si>
    <t>김형석, 김진하, 권벨리나, 김현조, 원동혁, 이혜린, 홍민숙, 권태일, 구미현</t>
  </si>
  <si>
    <t>사원증(김순자)</t>
  </si>
  <si>
    <t>승기 1인</t>
  </si>
  <si>
    <t>김미정 나영은 이아람</t>
  </si>
  <si>
    <t>결제</t>
  </si>
  <si>
    <t>사원증(조정재, 신인철,고양주,지수미,최현미,김정미,최재구)</t>
  </si>
  <si>
    <t>명함(지수미,고양주,최현미,최재구,김정미)</t>
  </si>
  <si>
    <t>브로슈어(2000부)</t>
  </si>
  <si>
    <t>디자인비포함</t>
  </si>
  <si>
    <t>남미라</t>
  </si>
  <si>
    <t>평창힐링여행</t>
  </si>
  <si>
    <t>NGO활동가 세상이야기</t>
  </si>
  <si>
    <t>명함(이승주, 최인화 2건)</t>
  </si>
  <si>
    <t>연하장(600장)</t>
  </si>
  <si>
    <t>백색모조 185g/ 반접지/오시</t>
  </si>
  <si>
    <t>250*180</t>
  </si>
  <si>
    <t>드림역사탐험대</t>
  </si>
  <si>
    <t>책자/안내문 디자인</t>
  </si>
  <si>
    <t>디자인(기관지원차원으로 저렴)</t>
  </si>
  <si>
    <t>J</t>
  </si>
  <si>
    <t>인천문화센터</t>
  </si>
  <si>
    <t>한덕자, 신유정, 이연옥</t>
  </si>
  <si>
    <t>후원용지(링커스)</t>
  </si>
  <si>
    <t>시공</t>
  </si>
  <si>
    <t>필름시공</t>
  </si>
  <si>
    <t>하나금융그룹 시각장애인 점자교구 제작</t>
  </si>
  <si>
    <t>2025년 아동복지 종사자 해외사례탐구 [싱가폴]</t>
  </si>
  <si>
    <t>마이크로비트 배너</t>
  </si>
  <si>
    <t>책상현수막(행복으로 5장 / 승기 2장)</t>
  </si>
  <si>
    <t>박종희 김명자 김현숙 전혜경</t>
  </si>
  <si>
    <t>진정은</t>
  </si>
  <si>
    <t>58회 정기노회</t>
  </si>
  <si>
    <t>나도 작가다</t>
  </si>
  <si>
    <t>차이나데이</t>
  </si>
  <si>
    <t>인천문화센터 역사문화탐방</t>
  </si>
  <si>
    <t>오키나와</t>
  </si>
  <si>
    <t>유포지(로고)</t>
  </si>
  <si>
    <t>1500*500</t>
  </si>
  <si>
    <t>쿠폰(3종)</t>
  </si>
  <si>
    <t>쿠폰(4종)</t>
  </si>
  <si>
    <t>명함(여진 이용희)</t>
  </si>
  <si>
    <t>사원증세트(여진 이용희)</t>
  </si>
  <si>
    <t>조정재</t>
  </si>
  <si>
    <t>해단식</t>
  </si>
  <si>
    <t>390*80</t>
  </si>
  <si>
    <t>문제없는 영화제</t>
  </si>
  <si>
    <t>3T포+합지</t>
  </si>
  <si>
    <t>유광</t>
  </si>
  <si>
    <t>50*130</t>
  </si>
  <si>
    <t>무광</t>
  </si>
  <si>
    <t>문제없는 영화제(500장)</t>
  </si>
  <si>
    <t>110*40</t>
  </si>
  <si>
    <t>50*20</t>
  </si>
  <si>
    <t>720*244</t>
  </si>
  <si>
    <t>차미경, 이영주(사원증세트)</t>
  </si>
  <si>
    <t>정솔(명함)</t>
  </si>
  <si>
    <t>정솔</t>
  </si>
  <si>
    <t>로고(스티커)</t>
  </si>
  <si>
    <t>문화생활 함께행</t>
  </si>
  <si>
    <t>해피박스 전달판넬</t>
  </si>
  <si>
    <t>후원용지(80권) 링커스 외부</t>
  </si>
  <si>
    <t>김장나눔 현수막</t>
  </si>
  <si>
    <t>나영은</t>
  </si>
  <si>
    <t>김장나눔 배너</t>
  </si>
  <si>
    <t>김장나눔 판넬</t>
  </si>
  <si>
    <t>a2포+유포부착</t>
  </si>
  <si>
    <t>후원용지(10권)</t>
  </si>
  <si>
    <t>송세복</t>
  </si>
  <si>
    <t>후원용지(80권) 웨이메이커스 외부</t>
  </si>
  <si>
    <t>이승희 이정미 채서우 남명순</t>
  </si>
  <si>
    <t>외부업체 책상현수막</t>
  </si>
  <si>
    <t>주영교회(이음교회)</t>
  </si>
  <si>
    <t>총동문회 20차 정기총회</t>
  </si>
  <si>
    <t>225*70</t>
  </si>
  <si>
    <t>윤춘근, 김학철</t>
  </si>
  <si>
    <t>홍가영 이은진 박성연</t>
  </si>
  <si>
    <t>홍가영</t>
  </si>
  <si>
    <t>장훈, 송득오</t>
  </si>
  <si>
    <t>영양만점 사이언스 키친</t>
  </si>
  <si>
    <t>디디다 진로캠프</t>
  </si>
  <si>
    <t>배너(실내용거치대)</t>
  </si>
  <si>
    <t>전문위원 역량강화과정(퀵포함)</t>
  </si>
  <si>
    <t>중국</t>
  </si>
  <si>
    <t>상단타공+로프</t>
  </si>
  <si>
    <t>600*300</t>
  </si>
  <si>
    <t>졸업식(배송비포함)</t>
  </si>
  <si>
    <t>최선형(은광학교)</t>
  </si>
  <si>
    <t>혹한기 온기나눔</t>
  </si>
  <si>
    <t>송년회</t>
  </si>
  <si>
    <t>주문 판매 현황</t>
  </si>
  <si>
    <t>판매건수</t>
  </si>
  <si>
    <t>판매수량</t>
  </si>
  <si>
    <t>판매금액</t>
  </si>
  <si>
    <t>수금액</t>
  </si>
  <si>
    <t>미수금</t>
  </si>
  <si>
    <t>번호</t>
  </si>
  <si>
    <t>구매자</t>
  </si>
  <si>
    <t>금액</t>
  </si>
  <si>
    <t>비고</t>
  </si>
  <si>
    <t>합계</t>
  </si>
  <si>
    <t>참고…</t>
  </si>
  <si>
    <t>2023년 주문판매 월별 통계</t>
  </si>
  <si>
    <t>구      분</t>
  </si>
  <si>
    <t>수금금액</t>
  </si>
  <si>
    <t>미 수 금</t>
  </si>
  <si>
    <t>거래처</t>
    <phoneticPr fontId="21" type="noConversion"/>
  </si>
  <si>
    <t>주문일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</si>
</sst>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;\(#,##0\)"/>
    <numFmt numFmtId="177" formatCode="m\-d"/>
    <numFmt numFmtId="178" formatCode="#,#00"/>
    <numFmt numFmtId="179" formatCode="m&quot;월 &quot;d&quot;일&quot;"/>
    <numFmt numFmtId="180" formatCode="mm\-dd"/>
    <numFmt numFmtId="181" formatCode="0&quot;년&quot;"/>
    <numFmt numFmtId="182" formatCode="0&quot;월&quot;"/>
    <numFmt numFmtId="183" formatCode="m&quot;. &quot;d"/>
    <numFmt numFmtId="184" formatCode="_-* #,##0_-;\-* #,##0_-;_-* &quot;-&quot;_-;_-@"/>
    <numFmt numFmtId="185" formatCode="_-&quot;₩&quot;* #,##0_-;\-&quot;₩&quot;* #,##0_-;_-&quot;₩&quot;* &quot;-&quot;_-;_-@"/>
    <numFmt numFmtId="186" formatCode="#"/>
    <numFmt numFmtId="187" formatCode="0&quot;건&quot;"/>
  </numFmts>
  <fonts count="22">
    <font>
      <sz val="11"/>
      <color theme="1"/>
      <name val="Calibri"/>
      <scheme val="minor"/>
    </font>
    <font>
      <sz val="9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sz val="11"/>
      <color rgb="FF000000"/>
      <name val="Inconsolata"/>
    </font>
    <font>
      <sz val="9"/>
      <color theme="1"/>
      <name val="Arial"/>
      <family val="2"/>
    </font>
    <font>
      <sz val="9"/>
      <color theme="1"/>
      <name val="NanumbarunGothic"/>
    </font>
    <font>
      <sz val="11"/>
      <color rgb="FF0E0E0E"/>
      <name val="Calibri"/>
      <family val="2"/>
    </font>
    <font>
      <sz val="11"/>
      <color rgb="FF0E0E0E"/>
      <name val="Calibri"/>
      <family val="2"/>
    </font>
    <font>
      <sz val="11"/>
      <color theme="1"/>
      <name val="Inconsolata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9"/>
      <color rgb="FF000000"/>
      <name val="Malgun Gothic"/>
      <family val="2"/>
      <charset val="129"/>
    </font>
    <font>
      <sz val="20"/>
      <color theme="1"/>
      <name val="Hy울릉도m"/>
      <family val="3"/>
      <charset val="129"/>
    </font>
    <font>
      <sz val="11"/>
      <color theme="1"/>
      <name val="Calibri"/>
      <family val="2"/>
    </font>
    <font>
      <b/>
      <sz val="10"/>
      <color theme="1"/>
      <name val="Hy울릉도m"/>
      <charset val="129"/>
    </font>
    <font>
      <sz val="10"/>
      <color theme="1"/>
      <name val="Hy울릉도m"/>
      <charset val="129"/>
    </font>
    <font>
      <sz val="11"/>
      <color theme="1"/>
      <name val="Malgun Gothic"/>
      <family val="2"/>
      <charset val="129"/>
    </font>
    <font>
      <sz val="10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sz val="11"/>
      <color rgb="FFF7981D"/>
      <name val="Inconsolata"/>
    </font>
    <font>
      <sz val="24"/>
      <color theme="1"/>
      <name val="Malgun Gothic"/>
      <family val="2"/>
      <charset val="129"/>
    </font>
    <font>
      <sz val="8"/>
      <name val="Calibri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6" fontId="1" fillId="7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7" borderId="0" xfId="0" applyNumberFormat="1" applyFont="1" applyFill="1" applyAlignment="1">
      <alignment horizontal="center" vertical="center"/>
    </xf>
    <xf numFmtId="176" fontId="1" fillId="9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10" borderId="0" xfId="0" applyNumberFormat="1" applyFont="1" applyFill="1" applyAlignment="1">
      <alignment horizontal="center" vertical="center"/>
    </xf>
    <xf numFmtId="9" fontId="6" fillId="0" borderId="0" xfId="0" applyNumberFormat="1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9" fontId="7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176" fontId="4" fillId="7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8" fillId="5" borderId="0" xfId="0" applyNumberFormat="1" applyFont="1" applyFill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6" fontId="10" fillId="10" borderId="0" xfId="0" applyNumberFormat="1" applyFont="1" applyFill="1" applyAlignment="1">
      <alignment vertical="center"/>
    </xf>
    <xf numFmtId="176" fontId="1" fillId="11" borderId="0" xfId="0" applyNumberFormat="1" applyFont="1" applyFill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76" fontId="10" fillId="9" borderId="0" xfId="0" applyNumberFormat="1" applyFont="1" applyFill="1" applyAlignment="1">
      <alignment vertical="center"/>
    </xf>
    <xf numFmtId="176" fontId="10" fillId="0" borderId="0" xfId="0" applyNumberFormat="1" applyFont="1" applyAlignment="1">
      <alignment vertical="center"/>
    </xf>
    <xf numFmtId="177" fontId="10" fillId="0" borderId="0" xfId="0" applyNumberFormat="1" applyFont="1" applyAlignment="1">
      <alignment vertical="center"/>
    </xf>
    <xf numFmtId="176" fontId="11" fillId="7" borderId="0" xfId="0" applyNumberFormat="1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76" fontId="1" fillId="12" borderId="0" xfId="0" applyNumberFormat="1" applyFont="1" applyFill="1" applyAlignment="1">
      <alignment horizontal="center" vertical="center"/>
    </xf>
    <xf numFmtId="176" fontId="4" fillId="12" borderId="0" xfId="0" applyNumberFormat="1" applyFont="1" applyFill="1" applyAlignment="1">
      <alignment horizontal="center" vertical="center"/>
    </xf>
    <xf numFmtId="176" fontId="1" fillId="13" borderId="0" xfId="0" applyNumberFormat="1" applyFont="1" applyFill="1" applyAlignment="1">
      <alignment horizontal="center" vertical="center"/>
    </xf>
    <xf numFmtId="176" fontId="4" fillId="13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176" fontId="4" fillId="11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84" fontId="15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186" fontId="17" fillId="0" borderId="0" xfId="0" applyNumberFormat="1" applyFont="1" applyAlignment="1">
      <alignment horizontal="center" vertical="center"/>
    </xf>
    <xf numFmtId="184" fontId="17" fillId="0" borderId="0" xfId="0" applyNumberFormat="1" applyFont="1" applyAlignment="1">
      <alignment horizontal="right" vertical="center"/>
    </xf>
    <xf numFmtId="186" fontId="17" fillId="7" borderId="0" xfId="0" applyNumberFormat="1" applyFont="1" applyFill="1" applyAlignment="1">
      <alignment horizontal="right" vertical="center"/>
    </xf>
    <xf numFmtId="186" fontId="19" fillId="5" borderId="0" xfId="0" applyNumberFormat="1" applyFont="1" applyFill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82" fontId="18" fillId="0" borderId="3" xfId="0" applyNumberFormat="1" applyFont="1" applyBorder="1" applyAlignment="1">
      <alignment horizontal="center" vertical="center"/>
    </xf>
    <xf numFmtId="182" fontId="18" fillId="0" borderId="4" xfId="0" applyNumberFormat="1" applyFont="1" applyBorder="1" applyAlignment="1">
      <alignment horizontal="center" vertical="center"/>
    </xf>
    <xf numFmtId="182" fontId="18" fillId="0" borderId="5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87" fontId="16" fillId="0" borderId="7" xfId="0" applyNumberFormat="1" applyFont="1" applyBorder="1" applyAlignment="1">
      <alignment horizontal="center" vertical="center"/>
    </xf>
    <xf numFmtId="187" fontId="16" fillId="0" borderId="8" xfId="0" applyNumberFormat="1" applyFont="1" applyBorder="1" applyAlignment="1">
      <alignment horizontal="center" vertical="center"/>
    </xf>
    <xf numFmtId="187" fontId="16" fillId="0" borderId="9" xfId="0" applyNumberFormat="1" applyFont="1" applyBorder="1" applyAlignment="1">
      <alignment horizontal="center" vertical="center"/>
    </xf>
    <xf numFmtId="187" fontId="16" fillId="0" borderId="10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85" fontId="16" fillId="0" borderId="12" xfId="0" applyNumberFormat="1" applyFont="1" applyBorder="1" applyAlignment="1">
      <alignment horizontal="center" vertical="center"/>
    </xf>
    <xf numFmtId="185" fontId="16" fillId="0" borderId="13" xfId="0" applyNumberFormat="1" applyFont="1" applyBorder="1" applyAlignment="1">
      <alignment horizontal="center" vertical="center"/>
    </xf>
    <xf numFmtId="185" fontId="16" fillId="0" borderId="14" xfId="0" applyNumberFormat="1" applyFont="1" applyBorder="1" applyAlignment="1">
      <alignment horizontal="center" vertical="center"/>
    </xf>
    <xf numFmtId="185" fontId="16" fillId="0" borderId="15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185" fontId="16" fillId="0" borderId="17" xfId="0" applyNumberFormat="1" applyFont="1" applyBorder="1" applyAlignment="1">
      <alignment horizontal="center" vertical="center"/>
    </xf>
    <xf numFmtId="185" fontId="16" fillId="0" borderId="18" xfId="0" applyNumberFormat="1" applyFont="1" applyBorder="1" applyAlignment="1">
      <alignment horizontal="center" vertical="center"/>
    </xf>
    <xf numFmtId="185" fontId="16" fillId="0" borderId="19" xfId="0" applyNumberFormat="1" applyFont="1" applyBorder="1" applyAlignment="1">
      <alignment horizontal="center" vertical="center"/>
    </xf>
    <xf numFmtId="185" fontId="16" fillId="0" borderId="20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6" fontId="2" fillId="2" borderId="0" xfId="0" applyNumberFormat="1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  <xf numFmtId="179" fontId="1" fillId="4" borderId="0" xfId="0" applyNumberFormat="1" applyFont="1" applyFill="1" applyAlignment="1">
      <alignment horizontal="center" vertical="center"/>
    </xf>
    <xf numFmtId="177" fontId="10" fillId="0" borderId="0" xfId="0" applyNumberFormat="1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0" fillId="0" borderId="0" xfId="0" applyNumberFormat="1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84" fontId="15" fillId="0" borderId="0" xfId="0" applyNumberFormat="1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185" fontId="18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xMode val="edge"/>
          <c:yMode val="edge"/>
          <c:x val="0.11761278931042711"/>
          <c:y val="4.3499578893074896E-2"/>
          <c:w val="0.88238721068960002"/>
          <c:h val="0.8315793222973866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'주문판매 월별 통계'!$C$5:$N$5</c:f>
              <c:numCache>
                <c:formatCode>_-"₩"* #,##0_-;\-"₩"* #,##0_-;_-"₩"* "-"_-;_-@</c:formatCode>
                <c:ptCount val="12"/>
                <c:pt idx="0">
                  <c:v>9899500</c:v>
                </c:pt>
                <c:pt idx="1">
                  <c:v>18471200</c:v>
                </c:pt>
                <c:pt idx="2">
                  <c:v>11279700</c:v>
                </c:pt>
                <c:pt idx="3">
                  <c:v>11765300</c:v>
                </c:pt>
                <c:pt idx="4">
                  <c:v>45010000</c:v>
                </c:pt>
                <c:pt idx="5">
                  <c:v>14339150</c:v>
                </c:pt>
                <c:pt idx="6">
                  <c:v>9028400</c:v>
                </c:pt>
                <c:pt idx="7">
                  <c:v>9708400</c:v>
                </c:pt>
                <c:pt idx="8">
                  <c:v>11923690</c:v>
                </c:pt>
                <c:pt idx="9">
                  <c:v>9433600</c:v>
                </c:pt>
                <c:pt idx="10">
                  <c:v>84027800</c:v>
                </c:pt>
                <c:pt idx="11">
                  <c:v>6082600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9AE-F74C-BC3A-2D178FD7E6E5}"/>
            </c:ext>
          </c:extLst>
        </c:ser>
        <c:ser>
          <c:idx val="1"/>
          <c:order val="1"/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'주문판매 월별 통계'!$C$6:$N$6</c:f>
              <c:numCache>
                <c:formatCode>_-"₩"* #,##0_-;\-"₩"* #,##0_-;_-"₩"* "-"_-;_-@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9AE-F74C-BC3A-2D178FD7E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4606042"/>
        <c:axId val="970723808"/>
      </c:barChart>
      <c:catAx>
        <c:axId val="1024606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&quot;월&quot;" sourceLinked="0"/>
        <c:majorTickMark val="out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70723808"/>
        <c:crosses val="autoZero"/>
        <c:auto val="1"/>
        <c:lblAlgn val="ctr"/>
        <c:lblOffset val="100"/>
        <c:noMultiLvlLbl val="1"/>
      </c:catAx>
      <c:valAx>
        <c:axId val="970723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02460604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>
        <c:manualLayout>
          <c:xMode val="edge"/>
          <c:yMode val="edge"/>
          <c:x val="0.11750773880537645"/>
          <c:y val="4.7076657824757534E-2"/>
          <c:w val="0.88243569553805778"/>
          <c:h val="0.80732088784922851"/>
        </c:manualLayout>
      </c:layout>
      <c:lineChart>
        <c:grouping val="standard"/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 cmpd="sng">
                <a:solidFill>
                  <a:srgbClr val="4F81BD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'주문판매 월별 통계'!$C$4:$N$4</c:f>
              <c:numCache>
                <c:formatCode>0"건"</c:formatCode>
                <c:ptCount val="12"/>
                <c:pt idx="0">
                  <c:v>96</c:v>
                </c:pt>
                <c:pt idx="1">
                  <c:v>110</c:v>
                </c:pt>
                <c:pt idx="2">
                  <c:v>89</c:v>
                </c:pt>
                <c:pt idx="3">
                  <c:v>87</c:v>
                </c:pt>
                <c:pt idx="4">
                  <c:v>122</c:v>
                </c:pt>
                <c:pt idx="5">
                  <c:v>80</c:v>
                </c:pt>
                <c:pt idx="6">
                  <c:v>110</c:v>
                </c:pt>
                <c:pt idx="7">
                  <c:v>66</c:v>
                </c:pt>
                <c:pt idx="8">
                  <c:v>55</c:v>
                </c:pt>
                <c:pt idx="9">
                  <c:v>79</c:v>
                </c:pt>
                <c:pt idx="10">
                  <c:v>74</c:v>
                </c:pt>
                <c:pt idx="1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4-854A-8C28-942CF14F1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597226"/>
        <c:axId val="647658590"/>
      </c:lineChart>
      <c:catAx>
        <c:axId val="2028597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47658590"/>
        <c:crosses val="autoZero"/>
        <c:auto val="1"/>
        <c:lblAlgn val="ctr"/>
        <c:lblOffset val="100"/>
        <c:noMultiLvlLbl val="1"/>
      </c:catAx>
      <c:valAx>
        <c:axId val="647658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&quot;건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2859722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13706475" cy="4543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13706475" cy="46101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9"/>
  <sheetViews>
    <sheetView tabSelected="1" workbookViewId="0">
      <pane ySplit="4" topLeftCell="A5" activePane="bottomLeft" state="frozen"/>
      <selection pane="bottomLeft" activeCell="P3" sqref="P3:P4"/>
    </sheetView>
  </sheetViews>
  <sheetFormatPr baseColWidth="10" defaultColWidth="14.5" defaultRowHeight="15" customHeight="1"/>
  <cols>
    <col min="1" max="3" width="5.5" customWidth="1"/>
    <col min="4" max="4" width="21.33203125" customWidth="1"/>
    <col min="5" max="5" width="54.6640625" customWidth="1"/>
    <col min="6" max="7" width="10.5" customWidth="1"/>
    <col min="8" max="12" width="5.5" customWidth="1"/>
    <col min="13" max="13" width="6.6640625" customWidth="1"/>
    <col min="14" max="15" width="21.5" customWidth="1"/>
    <col min="16" max="16" width="17" customWidth="1"/>
    <col min="17" max="18" width="21.5" customWidth="1"/>
    <col min="19" max="19" width="8.5" customWidth="1"/>
    <col min="20" max="20" width="6.83203125" customWidth="1"/>
    <col min="21" max="21" width="9.6640625" customWidth="1"/>
    <col min="22" max="22" width="15.5" customWidth="1"/>
    <col min="23" max="23" width="17.5" customWidth="1"/>
    <col min="24" max="30" width="9.83203125" customWidth="1"/>
  </cols>
  <sheetData>
    <row r="1" spans="1:30" ht="56.25" customHeight="1">
      <c r="A1" s="1"/>
      <c r="B1" s="1"/>
      <c r="C1" s="1"/>
      <c r="D1" s="1" t="s">
        <v>0</v>
      </c>
      <c r="E1" s="89"/>
      <c r="F1" s="90"/>
      <c r="G1" s="90"/>
      <c r="H1" s="90"/>
      <c r="I1" s="90"/>
      <c r="J1" s="90"/>
      <c r="K1" s="90"/>
      <c r="L1" s="90"/>
      <c r="M1" s="9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1"/>
      <c r="AB1" s="1"/>
      <c r="AC1" s="1"/>
      <c r="AD1" s="1"/>
    </row>
    <row r="2" spans="1:30" ht="18" customHeight="1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1"/>
      <c r="AB2" s="1"/>
      <c r="AC2" s="1"/>
      <c r="AD2" s="1"/>
    </row>
    <row r="3" spans="1:30" ht="21.75" customHeight="1">
      <c r="A3" s="91" t="s">
        <v>1</v>
      </c>
      <c r="B3" s="92" t="s">
        <v>699</v>
      </c>
      <c r="C3" s="90"/>
      <c r="D3" s="4" t="s">
        <v>698</v>
      </c>
      <c r="E3" s="92" t="s">
        <v>3</v>
      </c>
      <c r="F3" s="92" t="s">
        <v>4</v>
      </c>
      <c r="G3" s="92" t="s">
        <v>5</v>
      </c>
      <c r="H3" s="5" t="s">
        <v>6</v>
      </c>
      <c r="I3" s="6" t="s">
        <v>7</v>
      </c>
      <c r="J3" s="93" t="s">
        <v>8</v>
      </c>
      <c r="K3" s="90"/>
      <c r="L3" s="92" t="s">
        <v>9</v>
      </c>
      <c r="M3" s="92" t="s">
        <v>10</v>
      </c>
      <c r="N3" s="92" t="s">
        <v>11</v>
      </c>
      <c r="O3" s="92" t="s">
        <v>12</v>
      </c>
      <c r="P3" s="92" t="s">
        <v>13</v>
      </c>
      <c r="Q3" s="92" t="s">
        <v>14</v>
      </c>
      <c r="R3" s="92" t="s">
        <v>15</v>
      </c>
      <c r="S3" s="92" t="s">
        <v>16</v>
      </c>
      <c r="T3" s="92" t="s">
        <v>17</v>
      </c>
      <c r="U3" s="92" t="s">
        <v>18</v>
      </c>
      <c r="V3" s="92" t="s">
        <v>19</v>
      </c>
      <c r="W3" s="92" t="s">
        <v>20</v>
      </c>
      <c r="X3" s="92" t="s">
        <v>21</v>
      </c>
      <c r="Y3" s="92" t="s">
        <v>22</v>
      </c>
      <c r="Z3" s="94" t="s">
        <v>23</v>
      </c>
      <c r="AA3" s="92" t="s">
        <v>24</v>
      </c>
      <c r="AB3" s="4" t="s">
        <v>25</v>
      </c>
      <c r="AC3" s="4" t="s">
        <v>26</v>
      </c>
      <c r="AD3" s="4" t="s">
        <v>16</v>
      </c>
    </row>
    <row r="4" spans="1:30" ht="21.75" customHeight="1">
      <c r="A4" s="90"/>
      <c r="B4" s="4" t="s">
        <v>27</v>
      </c>
      <c r="C4" s="4" t="s">
        <v>28</v>
      </c>
      <c r="E4" s="90"/>
      <c r="F4" s="90"/>
      <c r="G4" s="90"/>
      <c r="H4" s="5" t="s">
        <v>29</v>
      </c>
      <c r="I4" s="6" t="s">
        <v>30</v>
      </c>
      <c r="J4" s="6" t="s">
        <v>27</v>
      </c>
      <c r="K4" s="6" t="s">
        <v>28</v>
      </c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4" t="s">
        <v>31</v>
      </c>
      <c r="AC4" s="4" t="s">
        <v>23</v>
      </c>
      <c r="AD4" s="4" t="s">
        <v>32</v>
      </c>
    </row>
    <row r="5" spans="1:30" ht="21" customHeight="1">
      <c r="A5" s="26">
        <f t="shared" ref="A5:A51" si="0">ROW()</f>
        <v>5</v>
      </c>
      <c r="B5" s="41">
        <v>1</v>
      </c>
      <c r="C5" s="42">
        <v>2</v>
      </c>
      <c r="D5" s="1" t="s">
        <v>225</v>
      </c>
      <c r="E5" s="9" t="s">
        <v>249</v>
      </c>
      <c r="F5" s="10">
        <v>1</v>
      </c>
      <c r="G5" s="11">
        <f t="shared" ref="G5:G51" si="1">R5+S5+T5+U5</f>
        <v>55000</v>
      </c>
      <c r="H5" s="32"/>
      <c r="I5" s="18"/>
      <c r="J5" s="95">
        <v>45730</v>
      </c>
      <c r="K5" s="90"/>
      <c r="L5" s="40">
        <v>45728</v>
      </c>
      <c r="M5" s="40">
        <v>46021</v>
      </c>
      <c r="N5" s="1"/>
      <c r="O5" s="1"/>
      <c r="P5" s="1"/>
      <c r="Q5" s="10">
        <v>50000</v>
      </c>
      <c r="R5" s="13">
        <f t="shared" ref="R5:R51" si="2">Q5*F5</f>
        <v>50000</v>
      </c>
      <c r="S5" s="1">
        <f t="shared" ref="S5:S40" si="3">R5*0.1</f>
        <v>5000</v>
      </c>
      <c r="T5" s="1">
        <v>0</v>
      </c>
      <c r="U5" s="1">
        <f t="shared" ref="U5:U51" si="4">T5*0.1</f>
        <v>0</v>
      </c>
      <c r="V5" s="10" t="s">
        <v>41</v>
      </c>
      <c r="W5" s="1" t="s">
        <v>250</v>
      </c>
      <c r="X5" s="14">
        <f t="shared" ref="X5:X51" si="5">G5-AA5</f>
        <v>55000</v>
      </c>
      <c r="Y5" s="14">
        <f t="shared" ref="Y5:Y51" si="6">X5-S5</f>
        <v>50000</v>
      </c>
      <c r="Z5" s="2">
        <f t="shared" ref="Z5:Z51" si="7">Y5/G5</f>
        <v>0.90909090909090906</v>
      </c>
      <c r="AA5" s="19">
        <v>0</v>
      </c>
      <c r="AB5" s="1">
        <f t="shared" ref="AB5:AB51" si="8">(AA5/1.1)-(G5/1.1)</f>
        <v>-49999.999999999993</v>
      </c>
      <c r="AC5" s="20">
        <f t="shared" ref="AC5:AC51" si="9">((G5/1.1) - (AA5/1.1)) / (G5/1.1) * 1</f>
        <v>1</v>
      </c>
      <c r="AD5" s="21">
        <f t="shared" ref="AD5:AD51" si="10">(G5 - (G5 / 1.1)) - (AA5 - (AA5 / 1.1))</f>
        <v>5000.0000000000073</v>
      </c>
    </row>
    <row r="6" spans="1:30" ht="21" customHeight="1">
      <c r="A6" s="26">
        <f t="shared" si="0"/>
        <v>6</v>
      </c>
      <c r="B6" s="41">
        <v>1</v>
      </c>
      <c r="C6" s="42">
        <v>2</v>
      </c>
      <c r="D6" s="1" t="s">
        <v>225</v>
      </c>
      <c r="E6" s="9" t="s">
        <v>251</v>
      </c>
      <c r="F6" s="10">
        <v>3</v>
      </c>
      <c r="G6" s="11">
        <f t="shared" si="1"/>
        <v>115500</v>
      </c>
      <c r="H6" s="32"/>
      <c r="I6" s="18"/>
      <c r="J6" s="95">
        <v>45730</v>
      </c>
      <c r="K6" s="90"/>
      <c r="L6" s="40">
        <v>45728</v>
      </c>
      <c r="M6" s="40">
        <v>46021</v>
      </c>
      <c r="N6" s="1" t="s">
        <v>79</v>
      </c>
      <c r="O6" s="1" t="s">
        <v>252</v>
      </c>
      <c r="P6" s="1" t="s">
        <v>81</v>
      </c>
      <c r="Q6" s="10">
        <v>35000</v>
      </c>
      <c r="R6" s="13">
        <f t="shared" si="2"/>
        <v>105000</v>
      </c>
      <c r="S6" s="1">
        <f t="shared" si="3"/>
        <v>10500</v>
      </c>
      <c r="T6" s="1">
        <v>0</v>
      </c>
      <c r="U6" s="1">
        <f t="shared" si="4"/>
        <v>0</v>
      </c>
      <c r="V6" s="10" t="s">
        <v>41</v>
      </c>
      <c r="W6" s="1" t="s">
        <v>250</v>
      </c>
      <c r="X6" s="14">
        <f t="shared" si="5"/>
        <v>47850</v>
      </c>
      <c r="Y6" s="14">
        <f t="shared" si="6"/>
        <v>37350</v>
      </c>
      <c r="Z6" s="2">
        <f t="shared" si="7"/>
        <v>0.32337662337662337</v>
      </c>
      <c r="AA6" s="19">
        <v>67650</v>
      </c>
      <c r="AB6" s="1">
        <f t="shared" si="8"/>
        <v>-43499.999999999993</v>
      </c>
      <c r="AC6" s="20">
        <f t="shared" si="9"/>
        <v>0.41428571428571426</v>
      </c>
      <c r="AD6" s="21">
        <f t="shared" si="10"/>
        <v>4350.0000000000073</v>
      </c>
    </row>
    <row r="7" spans="1:30" ht="21" customHeight="1">
      <c r="A7" s="26">
        <f t="shared" si="0"/>
        <v>7</v>
      </c>
      <c r="B7" s="41">
        <v>1</v>
      </c>
      <c r="C7" s="42">
        <v>2</v>
      </c>
      <c r="D7" s="1" t="s">
        <v>225</v>
      </c>
      <c r="E7" s="9" t="s">
        <v>253</v>
      </c>
      <c r="F7" s="10">
        <v>3</v>
      </c>
      <c r="G7" s="11">
        <f t="shared" si="1"/>
        <v>49500</v>
      </c>
      <c r="H7" s="32"/>
      <c r="I7" s="18"/>
      <c r="J7" s="95">
        <v>45730</v>
      </c>
      <c r="K7" s="90"/>
      <c r="L7" s="40">
        <v>45728</v>
      </c>
      <c r="M7" s="40">
        <v>46021</v>
      </c>
      <c r="N7" s="1" t="s">
        <v>254</v>
      </c>
      <c r="O7" s="1" t="s">
        <v>255</v>
      </c>
      <c r="P7" s="1" t="s">
        <v>256</v>
      </c>
      <c r="Q7" s="10">
        <v>15000</v>
      </c>
      <c r="R7" s="13">
        <f t="shared" si="2"/>
        <v>45000</v>
      </c>
      <c r="S7" s="1">
        <f t="shared" si="3"/>
        <v>4500</v>
      </c>
      <c r="T7" s="1">
        <v>0</v>
      </c>
      <c r="U7" s="1">
        <f t="shared" si="4"/>
        <v>0</v>
      </c>
      <c r="V7" s="10" t="s">
        <v>214</v>
      </c>
      <c r="W7" s="1" t="s">
        <v>250</v>
      </c>
      <c r="X7" s="14">
        <f t="shared" si="5"/>
        <v>32500</v>
      </c>
      <c r="Y7" s="14">
        <f t="shared" si="6"/>
        <v>28000</v>
      </c>
      <c r="Z7" s="2">
        <f t="shared" si="7"/>
        <v>0.56565656565656564</v>
      </c>
      <c r="AA7" s="19">
        <v>17000</v>
      </c>
      <c r="AB7" s="1">
        <f t="shared" si="8"/>
        <v>-29545.454545454544</v>
      </c>
      <c r="AC7" s="20">
        <f t="shared" si="9"/>
        <v>0.65656565656565657</v>
      </c>
      <c r="AD7" s="21">
        <f t="shared" si="10"/>
        <v>2954.545454545454</v>
      </c>
    </row>
    <row r="8" spans="1:30" ht="21" customHeight="1">
      <c r="A8" s="26">
        <f t="shared" si="0"/>
        <v>8</v>
      </c>
      <c r="B8" s="41">
        <v>1</v>
      </c>
      <c r="C8" s="42">
        <v>2</v>
      </c>
      <c r="D8" s="1" t="s">
        <v>47</v>
      </c>
      <c r="E8" s="9" t="s">
        <v>257</v>
      </c>
      <c r="F8" s="10">
        <v>1</v>
      </c>
      <c r="G8" s="11">
        <f t="shared" si="1"/>
        <v>13200</v>
      </c>
      <c r="H8" s="32"/>
      <c r="I8" s="1"/>
      <c r="J8" s="98"/>
      <c r="K8" s="90"/>
      <c r="L8" s="12">
        <v>45664</v>
      </c>
      <c r="M8" s="12">
        <v>45659</v>
      </c>
      <c r="N8" s="1" t="s">
        <v>45</v>
      </c>
      <c r="O8" s="1"/>
      <c r="P8" s="1" t="s">
        <v>35</v>
      </c>
      <c r="Q8" s="10">
        <v>12000</v>
      </c>
      <c r="R8" s="13">
        <f t="shared" si="2"/>
        <v>12000</v>
      </c>
      <c r="S8" s="1">
        <f t="shared" si="3"/>
        <v>1200</v>
      </c>
      <c r="T8" s="1">
        <v>0</v>
      </c>
      <c r="U8" s="1">
        <f t="shared" si="4"/>
        <v>0</v>
      </c>
      <c r="V8" s="10" t="s">
        <v>36</v>
      </c>
      <c r="W8" s="1" t="s">
        <v>212</v>
      </c>
      <c r="X8" s="14">
        <f t="shared" si="5"/>
        <v>2450</v>
      </c>
      <c r="Y8" s="14">
        <f t="shared" si="6"/>
        <v>1250</v>
      </c>
      <c r="Z8" s="2">
        <f t="shared" si="7"/>
        <v>9.4696969696969696E-2</v>
      </c>
      <c r="AA8" s="19">
        <v>10750</v>
      </c>
      <c r="AB8" s="1">
        <f t="shared" si="8"/>
        <v>-2227.2727272727261</v>
      </c>
      <c r="AC8" s="20">
        <f t="shared" si="9"/>
        <v>0.18560606060606052</v>
      </c>
      <c r="AD8" s="21">
        <f t="shared" si="10"/>
        <v>222.72727272727388</v>
      </c>
    </row>
    <row r="9" spans="1:30" ht="21" customHeight="1">
      <c r="A9" s="26">
        <f t="shared" si="0"/>
        <v>9</v>
      </c>
      <c r="B9" s="41">
        <v>1</v>
      </c>
      <c r="C9" s="42">
        <v>2</v>
      </c>
      <c r="D9" s="1" t="s">
        <v>47</v>
      </c>
      <c r="E9" s="9" t="s">
        <v>257</v>
      </c>
      <c r="F9" s="10">
        <v>1</v>
      </c>
      <c r="G9" s="11">
        <f t="shared" si="1"/>
        <v>15400</v>
      </c>
      <c r="H9" s="32"/>
      <c r="I9" s="1"/>
      <c r="J9" s="98"/>
      <c r="K9" s="90"/>
      <c r="L9" s="12">
        <v>45664</v>
      </c>
      <c r="M9" s="12">
        <v>45659</v>
      </c>
      <c r="N9" s="1" t="s">
        <v>54</v>
      </c>
      <c r="O9" s="1"/>
      <c r="P9" s="1" t="s">
        <v>49</v>
      </c>
      <c r="Q9" s="10">
        <v>14000</v>
      </c>
      <c r="R9" s="13">
        <f t="shared" si="2"/>
        <v>14000</v>
      </c>
      <c r="S9" s="1">
        <f t="shared" si="3"/>
        <v>1400</v>
      </c>
      <c r="T9" s="1">
        <v>0</v>
      </c>
      <c r="U9" s="1">
        <f t="shared" si="4"/>
        <v>0</v>
      </c>
      <c r="V9" s="10" t="s">
        <v>50</v>
      </c>
      <c r="W9" s="1" t="s">
        <v>212</v>
      </c>
      <c r="X9" s="14">
        <f t="shared" si="5"/>
        <v>15400</v>
      </c>
      <c r="Y9" s="14">
        <f t="shared" si="6"/>
        <v>14000</v>
      </c>
      <c r="Z9" s="2">
        <f t="shared" si="7"/>
        <v>0.90909090909090906</v>
      </c>
      <c r="AA9" s="19">
        <v>0</v>
      </c>
      <c r="AB9" s="1">
        <f t="shared" si="8"/>
        <v>-13999.999999999998</v>
      </c>
      <c r="AC9" s="20">
        <f t="shared" si="9"/>
        <v>1</v>
      </c>
      <c r="AD9" s="21">
        <f t="shared" si="10"/>
        <v>1400.0000000000018</v>
      </c>
    </row>
    <row r="10" spans="1:30" ht="21" customHeight="1">
      <c r="A10" s="26">
        <f t="shared" si="0"/>
        <v>10</v>
      </c>
      <c r="B10" s="41">
        <v>1</v>
      </c>
      <c r="C10" s="42">
        <v>2</v>
      </c>
      <c r="D10" s="27" t="s">
        <v>87</v>
      </c>
      <c r="E10" s="9" t="s">
        <v>88</v>
      </c>
      <c r="F10" s="10">
        <v>1</v>
      </c>
      <c r="G10" s="11">
        <f t="shared" si="1"/>
        <v>39600</v>
      </c>
      <c r="H10" s="32"/>
      <c r="I10" s="18"/>
      <c r="J10" s="95">
        <v>45671</v>
      </c>
      <c r="K10" s="90"/>
      <c r="L10" s="12">
        <v>45664</v>
      </c>
      <c r="M10" s="12">
        <v>45659</v>
      </c>
      <c r="N10" s="1" t="s">
        <v>38</v>
      </c>
      <c r="O10" s="1" t="s">
        <v>39</v>
      </c>
      <c r="P10" s="1" t="s">
        <v>89</v>
      </c>
      <c r="Q10" s="10">
        <v>36000</v>
      </c>
      <c r="R10" s="13">
        <f t="shared" si="2"/>
        <v>36000</v>
      </c>
      <c r="S10" s="1">
        <f t="shared" si="3"/>
        <v>3600</v>
      </c>
      <c r="T10" s="1">
        <v>0</v>
      </c>
      <c r="U10" s="1">
        <f t="shared" si="4"/>
        <v>0</v>
      </c>
      <c r="V10" s="10" t="s">
        <v>41</v>
      </c>
      <c r="W10" s="1" t="s">
        <v>87</v>
      </c>
      <c r="X10" s="14">
        <f t="shared" si="5"/>
        <v>22440</v>
      </c>
      <c r="Y10" s="14">
        <f t="shared" si="6"/>
        <v>18840</v>
      </c>
      <c r="Z10" s="2">
        <f t="shared" si="7"/>
        <v>0.47575757575757577</v>
      </c>
      <c r="AA10" s="19">
        <v>17160</v>
      </c>
      <c r="AB10" s="1">
        <f t="shared" si="8"/>
        <v>-20400</v>
      </c>
      <c r="AC10" s="22">
        <f t="shared" si="9"/>
        <v>0.56666666666666665</v>
      </c>
      <c r="AD10" s="23">
        <f t="shared" si="10"/>
        <v>2039.9999999999982</v>
      </c>
    </row>
    <row r="11" spans="1:30" ht="21" customHeight="1">
      <c r="A11" s="26">
        <f t="shared" si="0"/>
        <v>11</v>
      </c>
      <c r="B11" s="41">
        <v>1</v>
      </c>
      <c r="C11" s="42">
        <v>2</v>
      </c>
      <c r="D11" s="10" t="s">
        <v>37</v>
      </c>
      <c r="E11" s="9" t="s">
        <v>258</v>
      </c>
      <c r="F11" s="10">
        <v>12</v>
      </c>
      <c r="G11" s="11">
        <f t="shared" si="1"/>
        <v>224400</v>
      </c>
      <c r="H11" s="32"/>
      <c r="I11" s="18"/>
      <c r="J11" s="95">
        <v>45671</v>
      </c>
      <c r="K11" s="90"/>
      <c r="L11" s="12">
        <v>45664</v>
      </c>
      <c r="M11" s="12">
        <v>45659</v>
      </c>
      <c r="N11" s="1" t="s">
        <v>45</v>
      </c>
      <c r="O11" s="1" t="s">
        <v>122</v>
      </c>
      <c r="P11" s="1" t="s">
        <v>35</v>
      </c>
      <c r="Q11" s="10">
        <v>17000</v>
      </c>
      <c r="R11" s="13">
        <f t="shared" si="2"/>
        <v>204000</v>
      </c>
      <c r="S11" s="1">
        <f t="shared" si="3"/>
        <v>20400</v>
      </c>
      <c r="T11" s="1">
        <v>0</v>
      </c>
      <c r="U11" s="1">
        <f t="shared" si="4"/>
        <v>0</v>
      </c>
      <c r="V11" s="10" t="s">
        <v>123</v>
      </c>
      <c r="W11" s="1" t="s">
        <v>114</v>
      </c>
      <c r="X11" s="14">
        <f t="shared" si="5"/>
        <v>103920</v>
      </c>
      <c r="Y11" s="14">
        <f t="shared" si="6"/>
        <v>83520</v>
      </c>
      <c r="Z11" s="2">
        <f t="shared" si="7"/>
        <v>0.37219251336898396</v>
      </c>
      <c r="AA11" s="19">
        <v>120480</v>
      </c>
      <c r="AB11" s="1">
        <f t="shared" si="8"/>
        <v>-94472.72727272725</v>
      </c>
      <c r="AC11" s="22">
        <f t="shared" si="9"/>
        <v>0.46310160427807484</v>
      </c>
      <c r="AD11" s="23">
        <f t="shared" si="10"/>
        <v>9447.2727272727498</v>
      </c>
    </row>
    <row r="12" spans="1:30" ht="21" customHeight="1">
      <c r="A12" s="7">
        <f t="shared" si="0"/>
        <v>12</v>
      </c>
      <c r="B12" s="41">
        <v>1</v>
      </c>
      <c r="C12" s="42">
        <v>2</v>
      </c>
      <c r="D12" s="10" t="s">
        <v>37</v>
      </c>
      <c r="E12" s="24" t="s">
        <v>259</v>
      </c>
      <c r="F12" s="10">
        <v>1</v>
      </c>
      <c r="G12" s="11">
        <f t="shared" si="1"/>
        <v>165000</v>
      </c>
      <c r="H12" s="32"/>
      <c r="I12" s="18"/>
      <c r="J12" s="95">
        <v>45671</v>
      </c>
      <c r="K12" s="90"/>
      <c r="L12" s="12">
        <v>45664</v>
      </c>
      <c r="M12" s="12">
        <v>45659</v>
      </c>
      <c r="N12" s="1" t="s">
        <v>45</v>
      </c>
      <c r="O12" s="1" t="s">
        <v>51</v>
      </c>
      <c r="P12" s="1" t="s">
        <v>35</v>
      </c>
      <c r="Q12" s="10">
        <v>150000</v>
      </c>
      <c r="R12" s="13">
        <f t="shared" si="2"/>
        <v>150000</v>
      </c>
      <c r="S12" s="1">
        <f t="shared" si="3"/>
        <v>15000</v>
      </c>
      <c r="T12" s="1">
        <v>0</v>
      </c>
      <c r="U12" s="1">
        <f t="shared" si="4"/>
        <v>0</v>
      </c>
      <c r="V12" s="10" t="s">
        <v>52</v>
      </c>
      <c r="W12" s="1" t="s">
        <v>114</v>
      </c>
      <c r="X12" s="14">
        <f t="shared" si="5"/>
        <v>43450</v>
      </c>
      <c r="Y12" s="14">
        <f t="shared" si="6"/>
        <v>28450</v>
      </c>
      <c r="Z12" s="2">
        <f t="shared" si="7"/>
        <v>0.17242424242424242</v>
      </c>
      <c r="AA12" s="19">
        <v>121550</v>
      </c>
      <c r="AB12" s="1">
        <f t="shared" si="8"/>
        <v>-39500.000000000015</v>
      </c>
      <c r="AC12" s="22">
        <f t="shared" si="9"/>
        <v>0.26333333333333342</v>
      </c>
      <c r="AD12" s="23">
        <f t="shared" si="10"/>
        <v>3949.9999999999854</v>
      </c>
    </row>
    <row r="13" spans="1:30" ht="21" customHeight="1">
      <c r="A13" s="7">
        <f t="shared" si="0"/>
        <v>13</v>
      </c>
      <c r="B13" s="41">
        <v>1</v>
      </c>
      <c r="C13" s="42">
        <v>3</v>
      </c>
      <c r="D13" s="10" t="s">
        <v>70</v>
      </c>
      <c r="E13" s="24" t="s">
        <v>260</v>
      </c>
      <c r="F13" s="10">
        <v>2</v>
      </c>
      <c r="G13" s="11">
        <f t="shared" si="1"/>
        <v>33000</v>
      </c>
      <c r="H13" s="32"/>
      <c r="I13" s="18"/>
      <c r="J13" s="95">
        <v>45667</v>
      </c>
      <c r="K13" s="90"/>
      <c r="L13" s="12">
        <v>45664</v>
      </c>
      <c r="M13" s="12">
        <v>45664</v>
      </c>
      <c r="N13" s="1" t="s">
        <v>38</v>
      </c>
      <c r="O13" s="1" t="s">
        <v>39</v>
      </c>
      <c r="P13" s="1" t="s">
        <v>83</v>
      </c>
      <c r="Q13" s="10">
        <v>15000</v>
      </c>
      <c r="R13" s="13">
        <f t="shared" si="2"/>
        <v>30000</v>
      </c>
      <c r="S13" s="1">
        <f t="shared" si="3"/>
        <v>3000</v>
      </c>
      <c r="T13" s="1">
        <v>0</v>
      </c>
      <c r="U13" s="1">
        <f t="shared" si="4"/>
        <v>0</v>
      </c>
      <c r="V13" s="10" t="s">
        <v>41</v>
      </c>
      <c r="W13" s="1" t="s">
        <v>161</v>
      </c>
      <c r="X13" s="14">
        <f t="shared" si="5"/>
        <v>-46200</v>
      </c>
      <c r="Y13" s="14">
        <f t="shared" si="6"/>
        <v>-49200</v>
      </c>
      <c r="Z13" s="2">
        <f t="shared" si="7"/>
        <v>-1.490909090909091</v>
      </c>
      <c r="AA13" s="19">
        <v>79200</v>
      </c>
      <c r="AB13" s="1">
        <f t="shared" si="8"/>
        <v>42000</v>
      </c>
      <c r="AC13" s="22">
        <f t="shared" si="9"/>
        <v>-1.4000000000000001</v>
      </c>
      <c r="AD13" s="23">
        <f t="shared" si="10"/>
        <v>-4199.9999999999964</v>
      </c>
    </row>
    <row r="14" spans="1:30" ht="21" customHeight="1">
      <c r="A14" s="7">
        <f t="shared" si="0"/>
        <v>14</v>
      </c>
      <c r="B14" s="41">
        <v>1</v>
      </c>
      <c r="C14" s="42">
        <v>3</v>
      </c>
      <c r="D14" s="10" t="s">
        <v>70</v>
      </c>
      <c r="E14" s="24" t="s">
        <v>260</v>
      </c>
      <c r="F14" s="10">
        <v>2</v>
      </c>
      <c r="G14" s="11">
        <f t="shared" si="1"/>
        <v>138600</v>
      </c>
      <c r="H14" s="32"/>
      <c r="I14" s="18"/>
      <c r="J14" s="95">
        <v>45667</v>
      </c>
      <c r="K14" s="90"/>
      <c r="L14" s="12">
        <v>45664</v>
      </c>
      <c r="M14" s="12">
        <v>45664</v>
      </c>
      <c r="N14" s="1" t="s">
        <v>38</v>
      </c>
      <c r="O14" s="1" t="s">
        <v>39</v>
      </c>
      <c r="P14" s="1" t="s">
        <v>261</v>
      </c>
      <c r="Q14" s="10">
        <v>63000</v>
      </c>
      <c r="R14" s="13">
        <f t="shared" si="2"/>
        <v>126000</v>
      </c>
      <c r="S14" s="1">
        <f t="shared" si="3"/>
        <v>12600</v>
      </c>
      <c r="T14" s="1">
        <v>0</v>
      </c>
      <c r="U14" s="1">
        <f t="shared" si="4"/>
        <v>0</v>
      </c>
      <c r="V14" s="10" t="s">
        <v>41</v>
      </c>
      <c r="W14" s="1" t="s">
        <v>161</v>
      </c>
      <c r="X14" s="14">
        <f t="shared" si="5"/>
        <v>138600</v>
      </c>
      <c r="Y14" s="14">
        <f t="shared" si="6"/>
        <v>126000</v>
      </c>
      <c r="Z14" s="2">
        <f t="shared" si="7"/>
        <v>0.90909090909090906</v>
      </c>
      <c r="AA14" s="19">
        <v>0</v>
      </c>
      <c r="AB14" s="1">
        <f t="shared" si="8"/>
        <v>-125999.99999999999</v>
      </c>
      <c r="AC14" s="22">
        <f t="shared" si="9"/>
        <v>1</v>
      </c>
      <c r="AD14" s="23">
        <f t="shared" si="10"/>
        <v>12600.000000000015</v>
      </c>
    </row>
    <row r="15" spans="1:30" ht="21" customHeight="1">
      <c r="A15" s="7">
        <f t="shared" si="0"/>
        <v>15</v>
      </c>
      <c r="B15" s="41">
        <v>1</v>
      </c>
      <c r="C15" s="42">
        <v>3</v>
      </c>
      <c r="D15" s="10" t="s">
        <v>70</v>
      </c>
      <c r="E15" s="24" t="s">
        <v>260</v>
      </c>
      <c r="F15" s="10">
        <v>2</v>
      </c>
      <c r="G15" s="11">
        <f t="shared" si="1"/>
        <v>44000</v>
      </c>
      <c r="H15" s="32"/>
      <c r="I15" s="18"/>
      <c r="J15" s="95">
        <v>45667</v>
      </c>
      <c r="K15" s="90"/>
      <c r="L15" s="12">
        <v>45664</v>
      </c>
      <c r="M15" s="12">
        <v>45664</v>
      </c>
      <c r="N15" s="1" t="s">
        <v>79</v>
      </c>
      <c r="O15" s="1" t="s">
        <v>80</v>
      </c>
      <c r="P15" s="1" t="s">
        <v>81</v>
      </c>
      <c r="Q15" s="10">
        <v>20000</v>
      </c>
      <c r="R15" s="13">
        <f t="shared" si="2"/>
        <v>40000</v>
      </c>
      <c r="S15" s="1">
        <f t="shared" si="3"/>
        <v>4000</v>
      </c>
      <c r="T15" s="1">
        <v>0</v>
      </c>
      <c r="U15" s="1">
        <f t="shared" si="4"/>
        <v>0</v>
      </c>
      <c r="V15" s="10" t="s">
        <v>41</v>
      </c>
      <c r="W15" s="1" t="s">
        <v>161</v>
      </c>
      <c r="X15" s="14">
        <f t="shared" si="5"/>
        <v>44000</v>
      </c>
      <c r="Y15" s="14">
        <f t="shared" si="6"/>
        <v>40000</v>
      </c>
      <c r="Z15" s="2">
        <f t="shared" si="7"/>
        <v>0.90909090909090906</v>
      </c>
      <c r="AA15" s="19">
        <v>0</v>
      </c>
      <c r="AB15" s="1">
        <f t="shared" si="8"/>
        <v>-40000</v>
      </c>
      <c r="AC15" s="22">
        <f t="shared" si="9"/>
        <v>1</v>
      </c>
      <c r="AD15" s="23">
        <f t="shared" si="10"/>
        <v>4000</v>
      </c>
    </row>
    <row r="16" spans="1:30" ht="21" customHeight="1">
      <c r="A16" s="7">
        <f t="shared" si="0"/>
        <v>16</v>
      </c>
      <c r="B16" s="41">
        <v>1</v>
      </c>
      <c r="C16" s="42">
        <v>3</v>
      </c>
      <c r="D16" s="10" t="s">
        <v>70</v>
      </c>
      <c r="E16" s="24" t="s">
        <v>260</v>
      </c>
      <c r="F16" s="10">
        <v>1</v>
      </c>
      <c r="G16" s="11">
        <f t="shared" si="1"/>
        <v>22000</v>
      </c>
      <c r="H16" s="32"/>
      <c r="I16" s="18"/>
      <c r="J16" s="95">
        <v>45667</v>
      </c>
      <c r="K16" s="90"/>
      <c r="L16" s="12">
        <v>45664</v>
      </c>
      <c r="M16" s="12">
        <v>45664</v>
      </c>
      <c r="N16" s="1" t="s">
        <v>262</v>
      </c>
      <c r="O16" s="1"/>
      <c r="P16" s="1"/>
      <c r="Q16" s="10">
        <v>20000</v>
      </c>
      <c r="R16" s="13">
        <f t="shared" si="2"/>
        <v>20000</v>
      </c>
      <c r="S16" s="1">
        <f t="shared" si="3"/>
        <v>2000</v>
      </c>
      <c r="T16" s="1">
        <v>0</v>
      </c>
      <c r="U16" s="1">
        <f t="shared" si="4"/>
        <v>0</v>
      </c>
      <c r="V16" s="10" t="s">
        <v>41</v>
      </c>
      <c r="W16" s="1" t="s">
        <v>161</v>
      </c>
      <c r="X16" s="14">
        <f t="shared" si="5"/>
        <v>-13000</v>
      </c>
      <c r="Y16" s="14">
        <f t="shared" si="6"/>
        <v>-15000</v>
      </c>
      <c r="Z16" s="2">
        <f t="shared" si="7"/>
        <v>-0.68181818181818177</v>
      </c>
      <c r="AA16" s="19">
        <v>35000</v>
      </c>
      <c r="AB16" s="1">
        <f t="shared" si="8"/>
        <v>11818.181818181816</v>
      </c>
      <c r="AC16" s="22">
        <f t="shared" si="9"/>
        <v>-0.59090909090909083</v>
      </c>
      <c r="AD16" s="23">
        <f t="shared" si="10"/>
        <v>-1181.8181818181838</v>
      </c>
    </row>
    <row r="17" spans="1:30" ht="21" customHeight="1">
      <c r="A17" s="7">
        <f t="shared" si="0"/>
        <v>17</v>
      </c>
      <c r="B17" s="41">
        <v>1</v>
      </c>
      <c r="C17" s="42">
        <v>6</v>
      </c>
      <c r="D17" s="10" t="s">
        <v>56</v>
      </c>
      <c r="E17" s="10" t="s">
        <v>263</v>
      </c>
      <c r="F17" s="10">
        <v>1</v>
      </c>
      <c r="G17" s="11">
        <f t="shared" si="1"/>
        <v>38500</v>
      </c>
      <c r="H17" s="32"/>
      <c r="I17" s="1"/>
      <c r="J17" s="98"/>
      <c r="K17" s="90"/>
      <c r="L17" s="25" t="s">
        <v>57</v>
      </c>
      <c r="M17" s="12">
        <v>45728</v>
      </c>
      <c r="N17" s="1" t="s">
        <v>38</v>
      </c>
      <c r="O17" s="1" t="s">
        <v>58</v>
      </c>
      <c r="P17" s="1" t="s">
        <v>59</v>
      </c>
      <c r="Q17" s="10">
        <v>35000</v>
      </c>
      <c r="R17" s="13">
        <f t="shared" si="2"/>
        <v>35000</v>
      </c>
      <c r="S17" s="1">
        <f t="shared" si="3"/>
        <v>3500</v>
      </c>
      <c r="T17" s="1">
        <v>0</v>
      </c>
      <c r="U17" s="1">
        <f t="shared" si="4"/>
        <v>0</v>
      </c>
      <c r="V17" s="10" t="s">
        <v>41</v>
      </c>
      <c r="W17" s="1" t="s">
        <v>161</v>
      </c>
      <c r="X17" s="14">
        <f t="shared" si="5"/>
        <v>3500</v>
      </c>
      <c r="Y17" s="14">
        <f t="shared" si="6"/>
        <v>0</v>
      </c>
      <c r="Z17" s="2">
        <f t="shared" si="7"/>
        <v>0</v>
      </c>
      <c r="AA17" s="19">
        <v>35000</v>
      </c>
      <c r="AB17" s="1">
        <f t="shared" si="8"/>
        <v>-3181.8181818181838</v>
      </c>
      <c r="AC17" s="22">
        <f t="shared" si="9"/>
        <v>9.0909090909090967E-2</v>
      </c>
      <c r="AD17" s="23">
        <f t="shared" si="10"/>
        <v>318.1818181818162</v>
      </c>
    </row>
    <row r="18" spans="1:30" ht="21" customHeight="1">
      <c r="A18" s="26">
        <f t="shared" si="0"/>
        <v>18</v>
      </c>
      <c r="B18" s="41">
        <v>1</v>
      </c>
      <c r="C18" s="42">
        <v>6</v>
      </c>
      <c r="D18" s="10" t="s">
        <v>37</v>
      </c>
      <c r="E18" s="9" t="s">
        <v>264</v>
      </c>
      <c r="F18" s="10">
        <v>1</v>
      </c>
      <c r="G18" s="11">
        <f t="shared" si="1"/>
        <v>8800</v>
      </c>
      <c r="H18" s="32"/>
      <c r="I18" s="18"/>
      <c r="J18" s="95">
        <v>45670</v>
      </c>
      <c r="K18" s="90"/>
      <c r="L18" s="12">
        <v>45664</v>
      </c>
      <c r="M18" s="12">
        <v>45663</v>
      </c>
      <c r="N18" s="1" t="s">
        <v>54</v>
      </c>
      <c r="O18" s="1" t="s">
        <v>55</v>
      </c>
      <c r="P18" s="1" t="s">
        <v>49</v>
      </c>
      <c r="Q18" s="10">
        <v>8000</v>
      </c>
      <c r="R18" s="13">
        <f t="shared" si="2"/>
        <v>8000</v>
      </c>
      <c r="S18" s="1">
        <f t="shared" si="3"/>
        <v>800</v>
      </c>
      <c r="T18" s="1">
        <v>0</v>
      </c>
      <c r="U18" s="1">
        <f t="shared" si="4"/>
        <v>0</v>
      </c>
      <c r="V18" s="10" t="s">
        <v>50</v>
      </c>
      <c r="W18" s="1" t="s">
        <v>114</v>
      </c>
      <c r="X18" s="14">
        <f t="shared" si="5"/>
        <v>8800</v>
      </c>
      <c r="Y18" s="14">
        <f t="shared" si="6"/>
        <v>8000</v>
      </c>
      <c r="Z18" s="2">
        <f t="shared" si="7"/>
        <v>0.90909090909090906</v>
      </c>
      <c r="AA18" s="19">
        <v>0</v>
      </c>
      <c r="AB18" s="1">
        <f t="shared" si="8"/>
        <v>-7999.9999999999991</v>
      </c>
      <c r="AC18" s="22">
        <f t="shared" si="9"/>
        <v>1</v>
      </c>
      <c r="AD18" s="23">
        <f t="shared" si="10"/>
        <v>800.00000000000091</v>
      </c>
    </row>
    <row r="19" spans="1:30" ht="21" customHeight="1">
      <c r="A19" s="7">
        <f t="shared" si="0"/>
        <v>19</v>
      </c>
      <c r="B19" s="41">
        <v>1</v>
      </c>
      <c r="C19" s="42">
        <v>6</v>
      </c>
      <c r="D19" s="10" t="s">
        <v>70</v>
      </c>
      <c r="E19" s="24" t="s">
        <v>265</v>
      </c>
      <c r="F19" s="10">
        <v>1</v>
      </c>
      <c r="G19" s="11">
        <f t="shared" si="1"/>
        <v>55000</v>
      </c>
      <c r="H19" s="32"/>
      <c r="I19" s="18"/>
      <c r="J19" s="95">
        <v>45670</v>
      </c>
      <c r="K19" s="90"/>
      <c r="L19" s="12">
        <v>45664</v>
      </c>
      <c r="M19" s="12">
        <v>45664</v>
      </c>
      <c r="N19" s="1" t="s">
        <v>38</v>
      </c>
      <c r="O19" s="1" t="s">
        <v>39</v>
      </c>
      <c r="P19" s="1" t="s">
        <v>78</v>
      </c>
      <c r="Q19" s="10">
        <v>50000</v>
      </c>
      <c r="R19" s="13">
        <f t="shared" si="2"/>
        <v>50000</v>
      </c>
      <c r="S19" s="1">
        <f t="shared" si="3"/>
        <v>5000</v>
      </c>
      <c r="T19" s="1">
        <v>0</v>
      </c>
      <c r="U19" s="1">
        <f t="shared" si="4"/>
        <v>0</v>
      </c>
      <c r="V19" s="10" t="s">
        <v>41</v>
      </c>
      <c r="W19" s="1" t="s">
        <v>144</v>
      </c>
      <c r="X19" s="14">
        <f t="shared" si="5"/>
        <v>770</v>
      </c>
      <c r="Y19" s="14">
        <f t="shared" si="6"/>
        <v>-4230</v>
      </c>
      <c r="Z19" s="2">
        <f t="shared" si="7"/>
        <v>-7.6909090909090913E-2</v>
      </c>
      <c r="AA19" s="19">
        <v>54230</v>
      </c>
      <c r="AB19" s="1">
        <f t="shared" si="8"/>
        <v>-700</v>
      </c>
      <c r="AC19" s="22">
        <f t="shared" si="9"/>
        <v>1.4000000000000002E-2</v>
      </c>
      <c r="AD19" s="23">
        <f t="shared" si="10"/>
        <v>70</v>
      </c>
    </row>
    <row r="20" spans="1:30" ht="21" customHeight="1">
      <c r="A20" s="7">
        <f t="shared" si="0"/>
        <v>20</v>
      </c>
      <c r="B20" s="41">
        <v>1</v>
      </c>
      <c r="C20" s="42">
        <v>6</v>
      </c>
      <c r="D20" s="10" t="s">
        <v>70</v>
      </c>
      <c r="E20" s="24" t="s">
        <v>265</v>
      </c>
      <c r="F20" s="10">
        <v>4</v>
      </c>
      <c r="G20" s="11">
        <f t="shared" si="1"/>
        <v>88000</v>
      </c>
      <c r="H20" s="32"/>
      <c r="I20" s="18"/>
      <c r="J20" s="95">
        <v>45670</v>
      </c>
      <c r="K20" s="90"/>
      <c r="L20" s="12">
        <v>45664</v>
      </c>
      <c r="M20" s="12">
        <v>45664</v>
      </c>
      <c r="N20" s="1" t="s">
        <v>79</v>
      </c>
      <c r="O20" s="1" t="s">
        <v>80</v>
      </c>
      <c r="P20" s="1" t="s">
        <v>81</v>
      </c>
      <c r="Q20" s="10">
        <v>20000</v>
      </c>
      <c r="R20" s="13">
        <f t="shared" si="2"/>
        <v>80000</v>
      </c>
      <c r="S20" s="1">
        <f t="shared" si="3"/>
        <v>8000</v>
      </c>
      <c r="T20" s="1">
        <v>0</v>
      </c>
      <c r="U20" s="1">
        <f t="shared" si="4"/>
        <v>0</v>
      </c>
      <c r="V20" s="10" t="s">
        <v>41</v>
      </c>
      <c r="W20" s="1" t="s">
        <v>144</v>
      </c>
      <c r="X20" s="14">
        <f t="shared" si="5"/>
        <v>88000</v>
      </c>
      <c r="Y20" s="14">
        <f t="shared" si="6"/>
        <v>80000</v>
      </c>
      <c r="Z20" s="2">
        <f t="shared" si="7"/>
        <v>0.90909090909090906</v>
      </c>
      <c r="AA20" s="19">
        <v>0</v>
      </c>
      <c r="AB20" s="1">
        <f t="shared" si="8"/>
        <v>-80000</v>
      </c>
      <c r="AC20" s="22">
        <f t="shared" si="9"/>
        <v>1</v>
      </c>
      <c r="AD20" s="23">
        <f t="shared" si="10"/>
        <v>8000</v>
      </c>
    </row>
    <row r="21" spans="1:30" ht="21" customHeight="1">
      <c r="A21" s="26">
        <f t="shared" si="0"/>
        <v>21</v>
      </c>
      <c r="B21" s="41">
        <v>1</v>
      </c>
      <c r="C21" s="42">
        <v>6</v>
      </c>
      <c r="D21" s="10" t="s">
        <v>37</v>
      </c>
      <c r="E21" s="9" t="s">
        <v>266</v>
      </c>
      <c r="F21" s="10">
        <v>1</v>
      </c>
      <c r="G21" s="11">
        <f t="shared" si="1"/>
        <v>20900</v>
      </c>
      <c r="H21" s="32"/>
      <c r="I21" s="18"/>
      <c r="J21" s="95">
        <v>45666</v>
      </c>
      <c r="K21" s="90"/>
      <c r="L21" s="12">
        <v>45664</v>
      </c>
      <c r="M21" s="12">
        <v>45664</v>
      </c>
      <c r="N21" s="1" t="s">
        <v>38</v>
      </c>
      <c r="O21" s="1" t="s">
        <v>39</v>
      </c>
      <c r="P21" s="1" t="s">
        <v>64</v>
      </c>
      <c r="Q21" s="10">
        <v>15000</v>
      </c>
      <c r="R21" s="13">
        <f t="shared" si="2"/>
        <v>15000</v>
      </c>
      <c r="S21" s="1">
        <f t="shared" si="3"/>
        <v>1500</v>
      </c>
      <c r="T21" s="1">
        <v>4000</v>
      </c>
      <c r="U21" s="1">
        <f t="shared" si="4"/>
        <v>400</v>
      </c>
      <c r="V21" s="10" t="s">
        <v>41</v>
      </c>
      <c r="W21" s="1" t="s">
        <v>183</v>
      </c>
      <c r="X21" s="14">
        <f t="shared" si="5"/>
        <v>20900</v>
      </c>
      <c r="Y21" s="14">
        <f t="shared" si="6"/>
        <v>19400</v>
      </c>
      <c r="Z21" s="2">
        <f t="shared" si="7"/>
        <v>0.92822966507177029</v>
      </c>
      <c r="AA21" s="19">
        <v>0</v>
      </c>
      <c r="AB21" s="1">
        <f t="shared" si="8"/>
        <v>-19000</v>
      </c>
      <c r="AC21" s="20">
        <f t="shared" si="9"/>
        <v>1</v>
      </c>
      <c r="AD21" s="21">
        <f t="shared" si="10"/>
        <v>1900</v>
      </c>
    </row>
    <row r="22" spans="1:30" ht="21" customHeight="1">
      <c r="A22" s="26">
        <f t="shared" si="0"/>
        <v>22</v>
      </c>
      <c r="B22" s="41">
        <v>1</v>
      </c>
      <c r="C22" s="42">
        <v>6</v>
      </c>
      <c r="D22" s="10" t="s">
        <v>37</v>
      </c>
      <c r="E22" s="9" t="s">
        <v>266</v>
      </c>
      <c r="F22" s="10">
        <v>6</v>
      </c>
      <c r="G22" s="11">
        <f t="shared" si="1"/>
        <v>105600</v>
      </c>
      <c r="H22" s="32"/>
      <c r="I22" s="18"/>
      <c r="J22" s="95">
        <v>45666</v>
      </c>
      <c r="K22" s="90"/>
      <c r="L22" s="12">
        <v>45664</v>
      </c>
      <c r="M22" s="12">
        <v>45664</v>
      </c>
      <c r="N22" s="1" t="s">
        <v>38</v>
      </c>
      <c r="O22" s="1" t="s">
        <v>39</v>
      </c>
      <c r="P22" s="1" t="s">
        <v>64</v>
      </c>
      <c r="Q22" s="10">
        <v>15000</v>
      </c>
      <c r="R22" s="13">
        <f t="shared" si="2"/>
        <v>90000</v>
      </c>
      <c r="S22" s="1">
        <f t="shared" si="3"/>
        <v>9000</v>
      </c>
      <c r="T22" s="1">
        <v>6000</v>
      </c>
      <c r="U22" s="1">
        <f t="shared" si="4"/>
        <v>600</v>
      </c>
      <c r="V22" s="10" t="s">
        <v>41</v>
      </c>
      <c r="W22" s="1" t="s">
        <v>183</v>
      </c>
      <c r="X22" s="14">
        <f t="shared" si="5"/>
        <v>105600</v>
      </c>
      <c r="Y22" s="14">
        <f t="shared" si="6"/>
        <v>96600</v>
      </c>
      <c r="Z22" s="2">
        <f t="shared" si="7"/>
        <v>0.91477272727272729</v>
      </c>
      <c r="AA22" s="19">
        <v>0</v>
      </c>
      <c r="AB22" s="1">
        <f t="shared" si="8"/>
        <v>-95999.999999999985</v>
      </c>
      <c r="AC22" s="22">
        <f t="shared" si="9"/>
        <v>1</v>
      </c>
      <c r="AD22" s="23">
        <f t="shared" si="10"/>
        <v>9600.0000000000146</v>
      </c>
    </row>
    <row r="23" spans="1:30" ht="21" customHeight="1">
      <c r="A23" s="26">
        <f t="shared" si="0"/>
        <v>23</v>
      </c>
      <c r="B23" s="41">
        <v>1</v>
      </c>
      <c r="C23" s="42">
        <v>7</v>
      </c>
      <c r="D23" s="27" t="s">
        <v>87</v>
      </c>
      <c r="E23" s="9" t="s">
        <v>90</v>
      </c>
      <c r="F23" s="10">
        <v>1</v>
      </c>
      <c r="G23" s="11">
        <f t="shared" si="1"/>
        <v>39600</v>
      </c>
      <c r="H23" s="32"/>
      <c r="I23" s="18"/>
      <c r="J23" s="95">
        <v>45678</v>
      </c>
      <c r="K23" s="90"/>
      <c r="L23" s="12">
        <v>45673</v>
      </c>
      <c r="M23" s="12">
        <v>45659</v>
      </c>
      <c r="N23" s="1" t="s">
        <v>38</v>
      </c>
      <c r="O23" s="1" t="s">
        <v>39</v>
      </c>
      <c r="P23" s="1" t="s">
        <v>89</v>
      </c>
      <c r="Q23" s="10">
        <v>36000</v>
      </c>
      <c r="R23" s="13">
        <f t="shared" si="2"/>
        <v>36000</v>
      </c>
      <c r="S23" s="1">
        <f t="shared" si="3"/>
        <v>3600</v>
      </c>
      <c r="T23" s="1">
        <v>0</v>
      </c>
      <c r="U23" s="1">
        <f t="shared" si="4"/>
        <v>0</v>
      </c>
      <c r="V23" s="10" t="s">
        <v>41</v>
      </c>
      <c r="W23" s="1" t="s">
        <v>87</v>
      </c>
      <c r="X23" s="14">
        <f t="shared" si="5"/>
        <v>22440</v>
      </c>
      <c r="Y23" s="14">
        <f t="shared" si="6"/>
        <v>18840</v>
      </c>
      <c r="Z23" s="2">
        <f t="shared" si="7"/>
        <v>0.47575757575757577</v>
      </c>
      <c r="AA23" s="19">
        <v>17160</v>
      </c>
      <c r="AB23" s="1">
        <f t="shared" si="8"/>
        <v>-20400</v>
      </c>
      <c r="AC23" s="22">
        <f t="shared" si="9"/>
        <v>0.56666666666666665</v>
      </c>
      <c r="AD23" s="23">
        <f t="shared" si="10"/>
        <v>2039.9999999999982</v>
      </c>
    </row>
    <row r="24" spans="1:30" ht="21" customHeight="1">
      <c r="A24" s="7">
        <f t="shared" si="0"/>
        <v>24</v>
      </c>
      <c r="B24" s="41">
        <v>1</v>
      </c>
      <c r="C24" s="42">
        <v>7</v>
      </c>
      <c r="D24" s="10" t="s">
        <v>70</v>
      </c>
      <c r="E24" s="24" t="s">
        <v>267</v>
      </c>
      <c r="F24" s="10">
        <v>1</v>
      </c>
      <c r="G24" s="11">
        <f t="shared" si="1"/>
        <v>22000</v>
      </c>
      <c r="H24" s="32"/>
      <c r="I24" s="18"/>
      <c r="J24" s="95">
        <v>45735</v>
      </c>
      <c r="K24" s="90"/>
      <c r="L24" s="12">
        <v>45673</v>
      </c>
      <c r="M24" s="12">
        <v>45664</v>
      </c>
      <c r="N24" s="1" t="s">
        <v>38</v>
      </c>
      <c r="O24" s="1" t="s">
        <v>268</v>
      </c>
      <c r="P24" s="1" t="s">
        <v>164</v>
      </c>
      <c r="Q24" s="10">
        <v>20000</v>
      </c>
      <c r="R24" s="13">
        <f t="shared" si="2"/>
        <v>20000</v>
      </c>
      <c r="S24" s="1">
        <f t="shared" si="3"/>
        <v>2000</v>
      </c>
      <c r="T24" s="1">
        <v>0</v>
      </c>
      <c r="U24" s="1">
        <f t="shared" si="4"/>
        <v>0</v>
      </c>
      <c r="V24" s="10" t="s">
        <v>50</v>
      </c>
      <c r="W24" s="1" t="s">
        <v>144</v>
      </c>
      <c r="X24" s="14">
        <f t="shared" si="5"/>
        <v>22000</v>
      </c>
      <c r="Y24" s="14">
        <f t="shared" si="6"/>
        <v>20000</v>
      </c>
      <c r="Z24" s="2">
        <f t="shared" si="7"/>
        <v>0.90909090909090906</v>
      </c>
      <c r="AA24" s="19">
        <v>0</v>
      </c>
      <c r="AB24" s="1">
        <f t="shared" si="8"/>
        <v>-20000</v>
      </c>
      <c r="AC24" s="22">
        <f t="shared" si="9"/>
        <v>1</v>
      </c>
      <c r="AD24" s="23">
        <f t="shared" si="10"/>
        <v>2000</v>
      </c>
    </row>
    <row r="25" spans="1:30" ht="21" customHeight="1">
      <c r="A25" s="7">
        <f t="shared" si="0"/>
        <v>25</v>
      </c>
      <c r="B25" s="41">
        <v>1</v>
      </c>
      <c r="C25" s="42">
        <v>7</v>
      </c>
      <c r="D25" s="10" t="s">
        <v>269</v>
      </c>
      <c r="E25" s="24" t="s">
        <v>270</v>
      </c>
      <c r="F25" s="10">
        <v>1</v>
      </c>
      <c r="G25" s="11">
        <f t="shared" si="1"/>
        <v>20900</v>
      </c>
      <c r="H25" s="32"/>
      <c r="I25" s="18"/>
      <c r="J25" s="95">
        <v>45664</v>
      </c>
      <c r="K25" s="90"/>
      <c r="L25" s="25" t="s">
        <v>57</v>
      </c>
      <c r="M25" s="25" t="s">
        <v>57</v>
      </c>
      <c r="N25" s="1" t="s">
        <v>38</v>
      </c>
      <c r="O25" s="1" t="s">
        <v>39</v>
      </c>
      <c r="P25" s="1" t="s">
        <v>271</v>
      </c>
      <c r="Q25" s="10">
        <v>19000</v>
      </c>
      <c r="R25" s="13">
        <f t="shared" si="2"/>
        <v>19000</v>
      </c>
      <c r="S25" s="1">
        <f t="shared" si="3"/>
        <v>1900</v>
      </c>
      <c r="T25" s="1">
        <v>0</v>
      </c>
      <c r="U25" s="1">
        <f t="shared" si="4"/>
        <v>0</v>
      </c>
      <c r="V25" s="10" t="s">
        <v>41</v>
      </c>
      <c r="W25" s="1" t="s">
        <v>269</v>
      </c>
      <c r="X25" s="14">
        <f t="shared" si="5"/>
        <v>20900</v>
      </c>
      <c r="Y25" s="14">
        <f t="shared" si="6"/>
        <v>19000</v>
      </c>
      <c r="Z25" s="2">
        <f t="shared" si="7"/>
        <v>0.90909090909090906</v>
      </c>
      <c r="AA25" s="19">
        <v>0</v>
      </c>
      <c r="AB25" s="1">
        <f t="shared" si="8"/>
        <v>-19000</v>
      </c>
      <c r="AC25" s="22">
        <f t="shared" si="9"/>
        <v>1</v>
      </c>
      <c r="AD25" s="23">
        <f t="shared" si="10"/>
        <v>1900</v>
      </c>
    </row>
    <row r="26" spans="1:30" ht="21" customHeight="1">
      <c r="A26" s="7">
        <f t="shared" si="0"/>
        <v>26</v>
      </c>
      <c r="B26" s="41">
        <v>1</v>
      </c>
      <c r="C26" s="42">
        <v>7</v>
      </c>
      <c r="D26" s="10" t="s">
        <v>101</v>
      </c>
      <c r="E26" s="24" t="s">
        <v>272</v>
      </c>
      <c r="F26" s="10">
        <v>1</v>
      </c>
      <c r="G26" s="11">
        <f t="shared" si="1"/>
        <v>440000</v>
      </c>
      <c r="H26" s="32"/>
      <c r="I26" s="18"/>
      <c r="J26" s="95">
        <v>45664</v>
      </c>
      <c r="K26" s="90"/>
      <c r="L26" s="12">
        <v>45664</v>
      </c>
      <c r="M26" s="25" t="s">
        <v>57</v>
      </c>
      <c r="N26" s="1"/>
      <c r="O26" s="1"/>
      <c r="P26" s="1"/>
      <c r="Q26" s="10">
        <v>400000</v>
      </c>
      <c r="R26" s="13">
        <f t="shared" si="2"/>
        <v>400000</v>
      </c>
      <c r="S26" s="1">
        <f t="shared" si="3"/>
        <v>40000</v>
      </c>
      <c r="T26" s="1">
        <v>0</v>
      </c>
      <c r="U26" s="1">
        <f t="shared" si="4"/>
        <v>0</v>
      </c>
      <c r="V26" s="10" t="s">
        <v>50</v>
      </c>
      <c r="W26" s="1" t="s">
        <v>101</v>
      </c>
      <c r="X26" s="14">
        <f t="shared" si="5"/>
        <v>440000</v>
      </c>
      <c r="Y26" s="14">
        <f t="shared" si="6"/>
        <v>400000</v>
      </c>
      <c r="Z26" s="2">
        <f t="shared" si="7"/>
        <v>0.90909090909090906</v>
      </c>
      <c r="AA26" s="19">
        <v>0</v>
      </c>
      <c r="AB26" s="1">
        <f t="shared" si="8"/>
        <v>-399999.99999999994</v>
      </c>
      <c r="AC26" s="22">
        <f t="shared" si="9"/>
        <v>1</v>
      </c>
      <c r="AD26" s="23">
        <f t="shared" si="10"/>
        <v>40000.000000000058</v>
      </c>
    </row>
    <row r="27" spans="1:30" ht="21" customHeight="1">
      <c r="A27" s="7">
        <f t="shared" si="0"/>
        <v>27</v>
      </c>
      <c r="B27" s="41">
        <v>1</v>
      </c>
      <c r="C27" s="42">
        <v>9</v>
      </c>
      <c r="D27" s="10" t="s">
        <v>185</v>
      </c>
      <c r="E27" s="24" t="s">
        <v>273</v>
      </c>
      <c r="F27" s="10">
        <v>2</v>
      </c>
      <c r="G27" s="11">
        <f t="shared" si="1"/>
        <v>41800</v>
      </c>
      <c r="H27" s="32"/>
      <c r="I27" s="1"/>
      <c r="J27" s="98"/>
      <c r="K27" s="90"/>
      <c r="L27" s="12">
        <v>45701</v>
      </c>
      <c r="M27" s="12"/>
      <c r="N27" s="1" t="s">
        <v>38</v>
      </c>
      <c r="O27" s="1" t="s">
        <v>39</v>
      </c>
      <c r="P27" s="1" t="s">
        <v>194</v>
      </c>
      <c r="Q27" s="10">
        <v>19000</v>
      </c>
      <c r="R27" s="13">
        <f t="shared" si="2"/>
        <v>38000</v>
      </c>
      <c r="S27" s="1">
        <f t="shared" si="3"/>
        <v>3800</v>
      </c>
      <c r="T27" s="1">
        <v>0</v>
      </c>
      <c r="U27" s="1">
        <f t="shared" si="4"/>
        <v>0</v>
      </c>
      <c r="V27" s="10" t="s">
        <v>41</v>
      </c>
      <c r="W27" s="1" t="s">
        <v>186</v>
      </c>
      <c r="X27" s="14">
        <f t="shared" si="5"/>
        <v>41800</v>
      </c>
      <c r="Y27" s="14">
        <f t="shared" si="6"/>
        <v>38000</v>
      </c>
      <c r="Z27" s="2">
        <f t="shared" si="7"/>
        <v>0.90909090909090906</v>
      </c>
      <c r="AA27" s="19">
        <v>0</v>
      </c>
      <c r="AB27" s="1">
        <f t="shared" si="8"/>
        <v>-38000</v>
      </c>
      <c r="AC27" s="22">
        <f t="shared" si="9"/>
        <v>1</v>
      </c>
      <c r="AD27" s="23">
        <f t="shared" si="10"/>
        <v>3800</v>
      </c>
    </row>
    <row r="28" spans="1:30" ht="21" customHeight="1">
      <c r="A28" s="7">
        <f t="shared" si="0"/>
        <v>28</v>
      </c>
      <c r="B28" s="41">
        <v>1</v>
      </c>
      <c r="C28" s="42">
        <v>9</v>
      </c>
      <c r="D28" s="10" t="s">
        <v>70</v>
      </c>
      <c r="E28" s="24" t="s">
        <v>265</v>
      </c>
      <c r="F28" s="10">
        <v>1</v>
      </c>
      <c r="G28" s="11">
        <f t="shared" si="1"/>
        <v>60500</v>
      </c>
      <c r="H28" s="32"/>
      <c r="I28" s="18"/>
      <c r="J28" s="95">
        <v>45735</v>
      </c>
      <c r="K28" s="90"/>
      <c r="L28" s="12">
        <v>45673</v>
      </c>
      <c r="M28" s="12">
        <v>45677</v>
      </c>
      <c r="N28" s="1" t="s">
        <v>42</v>
      </c>
      <c r="O28" s="1"/>
      <c r="P28" s="1" t="s">
        <v>82</v>
      </c>
      <c r="Q28" s="10">
        <v>25000</v>
      </c>
      <c r="R28" s="13">
        <f t="shared" si="2"/>
        <v>25000</v>
      </c>
      <c r="S28" s="1">
        <f t="shared" si="3"/>
        <v>2500</v>
      </c>
      <c r="T28" s="1">
        <v>30000</v>
      </c>
      <c r="U28" s="1">
        <f t="shared" si="4"/>
        <v>3000</v>
      </c>
      <c r="V28" s="10" t="s">
        <v>41</v>
      </c>
      <c r="W28" s="1" t="s">
        <v>144</v>
      </c>
      <c r="X28" s="14">
        <f t="shared" si="5"/>
        <v>60500</v>
      </c>
      <c r="Y28" s="14">
        <f t="shared" si="6"/>
        <v>58000</v>
      </c>
      <c r="Z28" s="2">
        <f t="shared" si="7"/>
        <v>0.95867768595041325</v>
      </c>
      <c r="AA28" s="19">
        <v>0</v>
      </c>
      <c r="AB28" s="1">
        <f t="shared" si="8"/>
        <v>-54999.999999999993</v>
      </c>
      <c r="AC28" s="22">
        <f t="shared" si="9"/>
        <v>1</v>
      </c>
      <c r="AD28" s="23">
        <f t="shared" si="10"/>
        <v>5500.0000000000073</v>
      </c>
    </row>
    <row r="29" spans="1:30" ht="21" customHeight="1">
      <c r="A29" s="7">
        <f t="shared" si="0"/>
        <v>29</v>
      </c>
      <c r="B29" s="41">
        <v>1</v>
      </c>
      <c r="C29" s="42">
        <v>10</v>
      </c>
      <c r="D29" s="10" t="s">
        <v>70</v>
      </c>
      <c r="E29" s="24" t="s">
        <v>274</v>
      </c>
      <c r="F29" s="10">
        <v>1</v>
      </c>
      <c r="G29" s="11">
        <f t="shared" si="1"/>
        <v>132000</v>
      </c>
      <c r="H29" s="32"/>
      <c r="I29" s="18"/>
      <c r="J29" s="95">
        <v>45681</v>
      </c>
      <c r="K29" s="90"/>
      <c r="L29" s="12">
        <v>45673</v>
      </c>
      <c r="M29" s="12">
        <v>45673</v>
      </c>
      <c r="N29" s="1" t="s">
        <v>42</v>
      </c>
      <c r="O29" s="1"/>
      <c r="P29" s="1" t="s">
        <v>93</v>
      </c>
      <c r="Q29" s="10">
        <v>120000</v>
      </c>
      <c r="R29" s="13">
        <f t="shared" si="2"/>
        <v>120000</v>
      </c>
      <c r="S29" s="1">
        <f t="shared" si="3"/>
        <v>12000</v>
      </c>
      <c r="T29" s="1">
        <v>0</v>
      </c>
      <c r="U29" s="1">
        <f t="shared" si="4"/>
        <v>0</v>
      </c>
      <c r="V29" s="10" t="s">
        <v>41</v>
      </c>
      <c r="W29" s="1" t="s">
        <v>275</v>
      </c>
      <c r="X29" s="14">
        <f t="shared" si="5"/>
        <v>55000</v>
      </c>
      <c r="Y29" s="14">
        <f t="shared" si="6"/>
        <v>43000</v>
      </c>
      <c r="Z29" s="2">
        <f t="shared" si="7"/>
        <v>0.32575757575757575</v>
      </c>
      <c r="AA29" s="19">
        <v>77000</v>
      </c>
      <c r="AB29" s="1">
        <f t="shared" si="8"/>
        <v>-49999.999999999985</v>
      </c>
      <c r="AC29" s="22">
        <f t="shared" si="9"/>
        <v>0.41666666666666657</v>
      </c>
      <c r="AD29" s="23">
        <f t="shared" si="10"/>
        <v>5000.0000000000146</v>
      </c>
    </row>
    <row r="30" spans="1:30" ht="21" customHeight="1">
      <c r="A30" s="7">
        <f t="shared" si="0"/>
        <v>30</v>
      </c>
      <c r="B30" s="41">
        <v>1</v>
      </c>
      <c r="C30" s="42">
        <v>10</v>
      </c>
      <c r="D30" s="10" t="s">
        <v>37</v>
      </c>
      <c r="E30" s="24" t="s">
        <v>276</v>
      </c>
      <c r="F30" s="10">
        <v>1</v>
      </c>
      <c r="G30" s="11">
        <f t="shared" si="1"/>
        <v>63800</v>
      </c>
      <c r="H30" s="32"/>
      <c r="I30" s="18"/>
      <c r="J30" s="95">
        <v>45679</v>
      </c>
      <c r="K30" s="90"/>
      <c r="L30" s="12">
        <v>45673</v>
      </c>
      <c r="M30" s="12">
        <v>45673</v>
      </c>
      <c r="N30" s="1" t="s">
        <v>38</v>
      </c>
      <c r="O30" s="1"/>
      <c r="P30" s="1" t="s">
        <v>277</v>
      </c>
      <c r="Q30" s="10">
        <v>58000</v>
      </c>
      <c r="R30" s="13">
        <f t="shared" si="2"/>
        <v>58000</v>
      </c>
      <c r="S30" s="1">
        <f t="shared" si="3"/>
        <v>5800</v>
      </c>
      <c r="T30" s="1">
        <v>0</v>
      </c>
      <c r="U30" s="1">
        <f t="shared" si="4"/>
        <v>0</v>
      </c>
      <c r="V30" s="10" t="s">
        <v>41</v>
      </c>
      <c r="W30" s="1" t="s">
        <v>244</v>
      </c>
      <c r="X30" s="14">
        <f t="shared" si="5"/>
        <v>63800</v>
      </c>
      <c r="Y30" s="14">
        <f t="shared" si="6"/>
        <v>58000</v>
      </c>
      <c r="Z30" s="2">
        <f t="shared" si="7"/>
        <v>0.90909090909090906</v>
      </c>
      <c r="AA30" s="19">
        <v>0</v>
      </c>
      <c r="AB30" s="1">
        <f t="shared" si="8"/>
        <v>-57999.999999999993</v>
      </c>
      <c r="AC30" s="22">
        <f t="shared" si="9"/>
        <v>1</v>
      </c>
      <c r="AD30" s="23">
        <f t="shared" si="10"/>
        <v>5800.0000000000073</v>
      </c>
    </row>
    <row r="31" spans="1:30" ht="21" customHeight="1">
      <c r="A31" s="7">
        <f t="shared" si="0"/>
        <v>31</v>
      </c>
      <c r="B31" s="41">
        <v>1</v>
      </c>
      <c r="C31" s="42">
        <v>10</v>
      </c>
      <c r="D31" s="10" t="s">
        <v>37</v>
      </c>
      <c r="E31" s="24" t="s">
        <v>276</v>
      </c>
      <c r="F31" s="10">
        <v>2</v>
      </c>
      <c r="G31" s="11">
        <f t="shared" si="1"/>
        <v>44000</v>
      </c>
      <c r="H31" s="32"/>
      <c r="I31" s="18"/>
      <c r="J31" s="95">
        <v>45679</v>
      </c>
      <c r="K31" s="90"/>
      <c r="L31" s="12">
        <v>45673</v>
      </c>
      <c r="M31" s="12">
        <v>45673</v>
      </c>
      <c r="N31" s="1" t="s">
        <v>79</v>
      </c>
      <c r="O31" s="1"/>
      <c r="P31" s="1" t="s">
        <v>81</v>
      </c>
      <c r="Q31" s="10">
        <v>20000</v>
      </c>
      <c r="R31" s="13">
        <f t="shared" si="2"/>
        <v>40000</v>
      </c>
      <c r="S31" s="1">
        <f t="shared" si="3"/>
        <v>4000</v>
      </c>
      <c r="T31" s="1">
        <v>0</v>
      </c>
      <c r="U31" s="1">
        <f t="shared" si="4"/>
        <v>0</v>
      </c>
      <c r="V31" s="10" t="s">
        <v>41</v>
      </c>
      <c r="W31" s="1" t="s">
        <v>244</v>
      </c>
      <c r="X31" s="14">
        <f t="shared" si="5"/>
        <v>44000</v>
      </c>
      <c r="Y31" s="14">
        <f t="shared" si="6"/>
        <v>40000</v>
      </c>
      <c r="Z31" s="2">
        <f t="shared" si="7"/>
        <v>0.90909090909090906</v>
      </c>
      <c r="AA31" s="19">
        <v>0</v>
      </c>
      <c r="AB31" s="1">
        <f t="shared" si="8"/>
        <v>-40000</v>
      </c>
      <c r="AC31" s="22">
        <f t="shared" si="9"/>
        <v>1</v>
      </c>
      <c r="AD31" s="23">
        <f t="shared" si="10"/>
        <v>4000</v>
      </c>
    </row>
    <row r="32" spans="1:30" ht="21" customHeight="1">
      <c r="A32" s="7">
        <f t="shared" si="0"/>
        <v>32</v>
      </c>
      <c r="B32" s="41">
        <v>1</v>
      </c>
      <c r="C32" s="42">
        <v>14</v>
      </c>
      <c r="D32" s="10" t="s">
        <v>103</v>
      </c>
      <c r="E32" s="24" t="s">
        <v>278</v>
      </c>
      <c r="F32" s="10">
        <v>1</v>
      </c>
      <c r="G32" s="11">
        <f t="shared" si="1"/>
        <v>154000</v>
      </c>
      <c r="H32" s="32"/>
      <c r="I32" s="18"/>
      <c r="J32" s="95">
        <v>45681</v>
      </c>
      <c r="K32" s="90"/>
      <c r="L32" s="25" t="s">
        <v>228</v>
      </c>
      <c r="M32" s="25" t="s">
        <v>57</v>
      </c>
      <c r="N32" s="1" t="s">
        <v>215</v>
      </c>
      <c r="O32" s="1" t="s">
        <v>279</v>
      </c>
      <c r="P32" s="1" t="s">
        <v>280</v>
      </c>
      <c r="Q32" s="10">
        <v>140000</v>
      </c>
      <c r="R32" s="13">
        <f t="shared" si="2"/>
        <v>140000</v>
      </c>
      <c r="S32" s="1">
        <f t="shared" si="3"/>
        <v>14000</v>
      </c>
      <c r="T32" s="1">
        <v>0</v>
      </c>
      <c r="U32" s="1">
        <f t="shared" si="4"/>
        <v>0</v>
      </c>
      <c r="V32" s="10" t="s">
        <v>41</v>
      </c>
      <c r="W32" s="1" t="s">
        <v>244</v>
      </c>
      <c r="X32" s="14">
        <f t="shared" si="5"/>
        <v>62620</v>
      </c>
      <c r="Y32" s="14">
        <f t="shared" si="6"/>
        <v>48620</v>
      </c>
      <c r="Z32" s="2">
        <f t="shared" si="7"/>
        <v>0.31571428571428573</v>
      </c>
      <c r="AA32" s="19">
        <v>91380</v>
      </c>
      <c r="AB32" s="1">
        <f t="shared" si="8"/>
        <v>-56927.272727272735</v>
      </c>
      <c r="AC32" s="22">
        <f t="shared" si="9"/>
        <v>0.40662337662337666</v>
      </c>
      <c r="AD32" s="23">
        <f t="shared" si="10"/>
        <v>5692.7272727272648</v>
      </c>
    </row>
    <row r="33" spans="1:30" ht="21" customHeight="1">
      <c r="A33" s="7">
        <f t="shared" si="0"/>
        <v>33</v>
      </c>
      <c r="B33" s="41">
        <v>1</v>
      </c>
      <c r="C33" s="42">
        <v>14</v>
      </c>
      <c r="D33" s="15" t="s">
        <v>33</v>
      </c>
      <c r="E33" s="24" t="s">
        <v>281</v>
      </c>
      <c r="F33" s="10">
        <v>1</v>
      </c>
      <c r="G33" s="11">
        <f t="shared" si="1"/>
        <v>22000</v>
      </c>
      <c r="H33" s="17"/>
      <c r="I33" s="18"/>
      <c r="J33" s="95">
        <v>45705</v>
      </c>
      <c r="K33" s="90"/>
      <c r="L33" s="12">
        <v>45673</v>
      </c>
      <c r="M33" s="25" t="s">
        <v>282</v>
      </c>
      <c r="N33" s="1" t="s">
        <v>34</v>
      </c>
      <c r="O33" s="1"/>
      <c r="P33" s="1" t="s">
        <v>35</v>
      </c>
      <c r="Q33" s="10">
        <v>20000</v>
      </c>
      <c r="R33" s="13">
        <f t="shared" si="2"/>
        <v>20000</v>
      </c>
      <c r="S33" s="1">
        <f t="shared" si="3"/>
        <v>2000</v>
      </c>
      <c r="T33" s="1">
        <v>0</v>
      </c>
      <c r="U33" s="1">
        <f t="shared" si="4"/>
        <v>0</v>
      </c>
      <c r="V33" s="10" t="s">
        <v>36</v>
      </c>
      <c r="W33" s="1" t="s">
        <v>33</v>
      </c>
      <c r="X33" s="14">
        <f t="shared" si="5"/>
        <v>22000</v>
      </c>
      <c r="Y33" s="14">
        <f t="shared" si="6"/>
        <v>20000</v>
      </c>
      <c r="Z33" s="2">
        <f t="shared" si="7"/>
        <v>0.90909090909090906</v>
      </c>
      <c r="AA33" s="19">
        <v>0</v>
      </c>
      <c r="AB33" s="1">
        <f t="shared" si="8"/>
        <v>-20000</v>
      </c>
      <c r="AC33" s="20">
        <f t="shared" si="9"/>
        <v>1</v>
      </c>
      <c r="AD33" s="21">
        <f t="shared" si="10"/>
        <v>2000</v>
      </c>
    </row>
    <row r="34" spans="1:30" ht="21" customHeight="1">
      <c r="A34" s="26">
        <f t="shared" si="0"/>
        <v>34</v>
      </c>
      <c r="B34" s="41">
        <v>1</v>
      </c>
      <c r="C34" s="42">
        <v>16</v>
      </c>
      <c r="D34" s="1" t="s">
        <v>70</v>
      </c>
      <c r="E34" s="9" t="s">
        <v>67</v>
      </c>
      <c r="F34" s="10">
        <v>1500</v>
      </c>
      <c r="G34" s="11">
        <f t="shared" si="1"/>
        <v>495000</v>
      </c>
      <c r="H34" s="17"/>
      <c r="I34" s="18"/>
      <c r="J34" s="95">
        <v>45681</v>
      </c>
      <c r="K34" s="90"/>
      <c r="L34" s="12">
        <v>45673</v>
      </c>
      <c r="M34" s="12">
        <v>45673</v>
      </c>
      <c r="N34" s="1" t="s">
        <v>152</v>
      </c>
      <c r="O34" s="1" t="s">
        <v>153</v>
      </c>
      <c r="P34" s="1" t="s">
        <v>69</v>
      </c>
      <c r="Q34" s="10">
        <v>300</v>
      </c>
      <c r="R34" s="13">
        <f t="shared" si="2"/>
        <v>450000</v>
      </c>
      <c r="S34" s="1">
        <f t="shared" si="3"/>
        <v>45000</v>
      </c>
      <c r="T34" s="1">
        <v>0</v>
      </c>
      <c r="U34" s="1">
        <f t="shared" si="4"/>
        <v>0</v>
      </c>
      <c r="V34" s="10" t="s">
        <v>36</v>
      </c>
      <c r="W34" s="1" t="s">
        <v>71</v>
      </c>
      <c r="X34" s="14">
        <f t="shared" si="5"/>
        <v>174560</v>
      </c>
      <c r="Y34" s="14">
        <f t="shared" si="6"/>
        <v>129560</v>
      </c>
      <c r="Z34" s="2">
        <f t="shared" si="7"/>
        <v>0.26173737373737371</v>
      </c>
      <c r="AA34" s="19">
        <v>320440</v>
      </c>
      <c r="AB34" s="1">
        <f t="shared" si="8"/>
        <v>-158690.90909090906</v>
      </c>
      <c r="AC34" s="20">
        <f t="shared" si="9"/>
        <v>0.3526464646464646</v>
      </c>
      <c r="AD34" s="21">
        <f t="shared" si="10"/>
        <v>15869.090909090941</v>
      </c>
    </row>
    <row r="35" spans="1:30" ht="21" customHeight="1">
      <c r="A35" s="26">
        <f t="shared" si="0"/>
        <v>35</v>
      </c>
      <c r="B35" s="41">
        <v>1</v>
      </c>
      <c r="C35" s="42">
        <v>16</v>
      </c>
      <c r="D35" s="1" t="s">
        <v>47</v>
      </c>
      <c r="E35" s="9" t="s">
        <v>283</v>
      </c>
      <c r="F35" s="10">
        <v>1</v>
      </c>
      <c r="G35" s="11">
        <f t="shared" si="1"/>
        <v>13200</v>
      </c>
      <c r="H35" s="32"/>
      <c r="I35" s="18"/>
      <c r="J35" s="95">
        <v>45803</v>
      </c>
      <c r="K35" s="90"/>
      <c r="L35" s="40">
        <v>45701</v>
      </c>
      <c r="M35" s="1" t="s">
        <v>57</v>
      </c>
      <c r="N35" s="1" t="s">
        <v>45</v>
      </c>
      <c r="O35" s="1"/>
      <c r="P35" s="1" t="s">
        <v>35</v>
      </c>
      <c r="Q35" s="10">
        <v>12000</v>
      </c>
      <c r="R35" s="13">
        <f t="shared" si="2"/>
        <v>12000</v>
      </c>
      <c r="S35" s="1">
        <f t="shared" si="3"/>
        <v>1200</v>
      </c>
      <c r="T35" s="1">
        <v>0</v>
      </c>
      <c r="U35" s="1">
        <f t="shared" si="4"/>
        <v>0</v>
      </c>
      <c r="V35" s="10" t="s">
        <v>36</v>
      </c>
      <c r="W35" s="1" t="s">
        <v>212</v>
      </c>
      <c r="X35" s="14">
        <f t="shared" si="5"/>
        <v>2450</v>
      </c>
      <c r="Y35" s="14">
        <f t="shared" si="6"/>
        <v>1250</v>
      </c>
      <c r="Z35" s="2">
        <f t="shared" si="7"/>
        <v>9.4696969696969696E-2</v>
      </c>
      <c r="AA35" s="19">
        <v>10750</v>
      </c>
      <c r="AB35" s="1">
        <f t="shared" si="8"/>
        <v>-2227.2727272727261</v>
      </c>
      <c r="AC35" s="20">
        <f t="shared" si="9"/>
        <v>0.18560606060606052</v>
      </c>
      <c r="AD35" s="21">
        <f t="shared" si="10"/>
        <v>222.72727272727388</v>
      </c>
    </row>
    <row r="36" spans="1:30" ht="21" customHeight="1">
      <c r="A36" s="26">
        <f t="shared" si="0"/>
        <v>36</v>
      </c>
      <c r="B36" s="41">
        <v>1</v>
      </c>
      <c r="C36" s="42">
        <v>16</v>
      </c>
      <c r="D36" s="1" t="s">
        <v>47</v>
      </c>
      <c r="E36" s="9" t="s">
        <v>283</v>
      </c>
      <c r="F36" s="10">
        <v>1</v>
      </c>
      <c r="G36" s="11">
        <f t="shared" si="1"/>
        <v>15400</v>
      </c>
      <c r="H36" s="32"/>
      <c r="I36" s="18"/>
      <c r="J36" s="95">
        <v>45803</v>
      </c>
      <c r="K36" s="90"/>
      <c r="L36" s="40">
        <v>45701</v>
      </c>
      <c r="M36" s="1" t="s">
        <v>57</v>
      </c>
      <c r="N36" s="1" t="s">
        <v>54</v>
      </c>
      <c r="O36" s="1"/>
      <c r="P36" s="1" t="s">
        <v>49</v>
      </c>
      <c r="Q36" s="10">
        <v>14000</v>
      </c>
      <c r="R36" s="13">
        <f t="shared" si="2"/>
        <v>14000</v>
      </c>
      <c r="S36" s="1">
        <f t="shared" si="3"/>
        <v>1400</v>
      </c>
      <c r="T36" s="1">
        <v>0</v>
      </c>
      <c r="U36" s="1">
        <f t="shared" si="4"/>
        <v>0</v>
      </c>
      <c r="V36" s="10" t="s">
        <v>50</v>
      </c>
      <c r="W36" s="1" t="s">
        <v>212</v>
      </c>
      <c r="X36" s="14">
        <f t="shared" si="5"/>
        <v>15400</v>
      </c>
      <c r="Y36" s="14">
        <f t="shared" si="6"/>
        <v>14000</v>
      </c>
      <c r="Z36" s="2">
        <f t="shared" si="7"/>
        <v>0.90909090909090906</v>
      </c>
      <c r="AA36" s="19">
        <v>0</v>
      </c>
      <c r="AB36" s="1">
        <f t="shared" si="8"/>
        <v>-13999.999999999998</v>
      </c>
      <c r="AC36" s="20">
        <f t="shared" si="9"/>
        <v>1</v>
      </c>
      <c r="AD36" s="21">
        <f t="shared" si="10"/>
        <v>1400.0000000000018</v>
      </c>
    </row>
    <row r="37" spans="1:30" ht="21" customHeight="1">
      <c r="A37" s="26">
        <f t="shared" si="0"/>
        <v>37</v>
      </c>
      <c r="B37" s="41">
        <v>1</v>
      </c>
      <c r="C37" s="42">
        <v>20</v>
      </c>
      <c r="D37" s="27" t="s">
        <v>47</v>
      </c>
      <c r="E37" s="9" t="s">
        <v>284</v>
      </c>
      <c r="F37" s="10">
        <v>1</v>
      </c>
      <c r="G37" s="11">
        <f t="shared" si="1"/>
        <v>352000</v>
      </c>
      <c r="H37" s="31"/>
      <c r="I37" s="18"/>
      <c r="J37" s="95">
        <v>45691</v>
      </c>
      <c r="K37" s="90"/>
      <c r="L37" s="1"/>
      <c r="M37" s="12">
        <v>45677</v>
      </c>
      <c r="N37" s="1" t="s">
        <v>111</v>
      </c>
      <c r="O37" s="1"/>
      <c r="P37" s="1" t="s">
        <v>44</v>
      </c>
      <c r="Q37" s="10">
        <v>320000</v>
      </c>
      <c r="R37" s="13">
        <f t="shared" si="2"/>
        <v>320000</v>
      </c>
      <c r="S37" s="1">
        <f t="shared" si="3"/>
        <v>32000</v>
      </c>
      <c r="T37" s="1">
        <v>0</v>
      </c>
      <c r="U37" s="1">
        <f t="shared" si="4"/>
        <v>0</v>
      </c>
      <c r="V37" s="10" t="s">
        <v>41</v>
      </c>
      <c r="W37" s="1" t="s">
        <v>218</v>
      </c>
      <c r="X37" s="14">
        <f t="shared" si="5"/>
        <v>178500</v>
      </c>
      <c r="Y37" s="14">
        <f t="shared" si="6"/>
        <v>146500</v>
      </c>
      <c r="Z37" s="2">
        <f t="shared" si="7"/>
        <v>0.41619318181818182</v>
      </c>
      <c r="AA37" s="19">
        <v>173500</v>
      </c>
      <c r="AB37" s="1">
        <f t="shared" si="8"/>
        <v>-162272.72727272729</v>
      </c>
      <c r="AC37" s="22">
        <f t="shared" si="9"/>
        <v>0.50710227272727282</v>
      </c>
      <c r="AD37" s="23">
        <f t="shared" si="10"/>
        <v>16227.272727272706</v>
      </c>
    </row>
    <row r="38" spans="1:30" ht="21" customHeight="1">
      <c r="A38" s="26">
        <f t="shared" si="0"/>
        <v>38</v>
      </c>
      <c r="B38" s="41">
        <v>1</v>
      </c>
      <c r="C38" s="42">
        <v>21</v>
      </c>
      <c r="D38" s="10" t="s">
        <v>178</v>
      </c>
      <c r="E38" s="9" t="s">
        <v>285</v>
      </c>
      <c r="F38" s="10">
        <v>1</v>
      </c>
      <c r="G38" s="11">
        <f t="shared" si="1"/>
        <v>44000</v>
      </c>
      <c r="H38" s="31"/>
      <c r="I38" s="18"/>
      <c r="J38" s="97" t="s">
        <v>286</v>
      </c>
      <c r="K38" s="90"/>
      <c r="L38" s="1" t="s">
        <v>57</v>
      </c>
      <c r="M38" s="25" t="s">
        <v>57</v>
      </c>
      <c r="N38" s="1" t="s">
        <v>38</v>
      </c>
      <c r="O38" s="1" t="s">
        <v>39</v>
      </c>
      <c r="P38" s="1" t="s">
        <v>240</v>
      </c>
      <c r="Q38" s="10">
        <v>20000</v>
      </c>
      <c r="R38" s="13">
        <f t="shared" si="2"/>
        <v>20000</v>
      </c>
      <c r="S38" s="1">
        <f t="shared" si="3"/>
        <v>2000</v>
      </c>
      <c r="T38" s="1">
        <v>20000</v>
      </c>
      <c r="U38" s="1">
        <f t="shared" si="4"/>
        <v>2000</v>
      </c>
      <c r="V38" s="10" t="s">
        <v>41</v>
      </c>
      <c r="W38" s="1" t="s">
        <v>196</v>
      </c>
      <c r="X38" s="14">
        <f t="shared" si="5"/>
        <v>44000</v>
      </c>
      <c r="Y38" s="14">
        <f t="shared" si="6"/>
        <v>42000</v>
      </c>
      <c r="Z38" s="2">
        <f t="shared" si="7"/>
        <v>0.95454545454545459</v>
      </c>
      <c r="AA38" s="19">
        <v>0</v>
      </c>
      <c r="AB38" s="1">
        <f t="shared" si="8"/>
        <v>-40000</v>
      </c>
      <c r="AC38" s="22">
        <f t="shared" si="9"/>
        <v>1</v>
      </c>
      <c r="AD38" s="23">
        <f t="shared" si="10"/>
        <v>4000</v>
      </c>
    </row>
    <row r="39" spans="1:30" ht="21" customHeight="1">
      <c r="A39" s="26">
        <f t="shared" si="0"/>
        <v>39</v>
      </c>
      <c r="B39" s="41">
        <v>1</v>
      </c>
      <c r="C39" s="42">
        <v>22</v>
      </c>
      <c r="D39" s="1" t="s">
        <v>70</v>
      </c>
      <c r="E39" s="9" t="s">
        <v>148</v>
      </c>
      <c r="F39" s="10">
        <v>2</v>
      </c>
      <c r="G39" s="11">
        <f t="shared" si="1"/>
        <v>44000</v>
      </c>
      <c r="H39" s="32"/>
      <c r="I39" s="18"/>
      <c r="J39" s="95">
        <v>45699</v>
      </c>
      <c r="K39" s="90"/>
      <c r="L39" s="12">
        <v>45701</v>
      </c>
      <c r="M39" s="25" t="s">
        <v>57</v>
      </c>
      <c r="N39" s="1" t="s">
        <v>38</v>
      </c>
      <c r="O39" s="1" t="s">
        <v>149</v>
      </c>
      <c r="P39" s="1" t="s">
        <v>150</v>
      </c>
      <c r="Q39" s="10">
        <v>20000</v>
      </c>
      <c r="R39" s="13">
        <f t="shared" si="2"/>
        <v>40000</v>
      </c>
      <c r="S39" s="1">
        <f t="shared" si="3"/>
        <v>4000</v>
      </c>
      <c r="T39" s="1">
        <v>0</v>
      </c>
      <c r="U39" s="1">
        <f t="shared" si="4"/>
        <v>0</v>
      </c>
      <c r="V39" s="10" t="s">
        <v>41</v>
      </c>
      <c r="W39" s="1" t="s">
        <v>287</v>
      </c>
      <c r="X39" s="14">
        <f t="shared" si="5"/>
        <v>14740</v>
      </c>
      <c r="Y39" s="14">
        <f t="shared" si="6"/>
        <v>10740</v>
      </c>
      <c r="Z39" s="2">
        <f t="shared" si="7"/>
        <v>0.24409090909090908</v>
      </c>
      <c r="AA39" s="19">
        <v>29260</v>
      </c>
      <c r="AB39" s="1">
        <f t="shared" si="8"/>
        <v>-13400.000000000004</v>
      </c>
      <c r="AC39" s="20">
        <f t="shared" si="9"/>
        <v>0.33500000000000008</v>
      </c>
      <c r="AD39" s="21">
        <f t="shared" si="10"/>
        <v>1339.9999999999964</v>
      </c>
    </row>
    <row r="40" spans="1:30" ht="21" customHeight="1">
      <c r="A40" s="26">
        <f t="shared" si="0"/>
        <v>40</v>
      </c>
      <c r="B40" s="41">
        <v>1</v>
      </c>
      <c r="C40" s="42">
        <v>24</v>
      </c>
      <c r="D40" s="1" t="s">
        <v>70</v>
      </c>
      <c r="E40" s="9" t="s">
        <v>288</v>
      </c>
      <c r="F40" s="10">
        <v>4</v>
      </c>
      <c r="G40" s="11">
        <f t="shared" si="1"/>
        <v>35200</v>
      </c>
      <c r="H40" s="32"/>
      <c r="I40" s="18"/>
      <c r="J40" s="95">
        <v>45707</v>
      </c>
      <c r="K40" s="90"/>
      <c r="L40" s="34">
        <v>45681</v>
      </c>
      <c r="M40" s="12">
        <v>45681</v>
      </c>
      <c r="N40" s="1" t="s">
        <v>54</v>
      </c>
      <c r="O40" s="1"/>
      <c r="P40" s="1" t="s">
        <v>49</v>
      </c>
      <c r="Q40" s="10">
        <v>8000</v>
      </c>
      <c r="R40" s="13">
        <f t="shared" si="2"/>
        <v>32000</v>
      </c>
      <c r="S40" s="1">
        <f t="shared" si="3"/>
        <v>3200</v>
      </c>
      <c r="T40" s="1">
        <v>0</v>
      </c>
      <c r="U40" s="1">
        <f t="shared" si="4"/>
        <v>0</v>
      </c>
      <c r="V40" s="10" t="s">
        <v>50</v>
      </c>
      <c r="W40" s="1" t="s">
        <v>275</v>
      </c>
      <c r="X40" s="14">
        <f t="shared" si="5"/>
        <v>5940</v>
      </c>
      <c r="Y40" s="14">
        <f t="shared" si="6"/>
        <v>2740</v>
      </c>
      <c r="Z40" s="2">
        <f t="shared" si="7"/>
        <v>7.7840909090909086E-2</v>
      </c>
      <c r="AA40" s="19">
        <v>29260</v>
      </c>
      <c r="AB40" s="1">
        <f t="shared" si="8"/>
        <v>-5400</v>
      </c>
      <c r="AC40" s="20">
        <f t="shared" si="9"/>
        <v>0.16875000000000001</v>
      </c>
      <c r="AD40" s="21">
        <f t="shared" si="10"/>
        <v>540</v>
      </c>
    </row>
    <row r="41" spans="1:30" ht="21" customHeight="1">
      <c r="A41" s="26">
        <f t="shared" si="0"/>
        <v>41</v>
      </c>
      <c r="B41" s="41">
        <v>1</v>
      </c>
      <c r="C41" s="42">
        <v>24</v>
      </c>
      <c r="D41" s="1" t="s">
        <v>56</v>
      </c>
      <c r="E41" s="1" t="s">
        <v>289</v>
      </c>
      <c r="F41" s="1">
        <v>1</v>
      </c>
      <c r="G41" s="11">
        <f t="shared" si="1"/>
        <v>32000</v>
      </c>
      <c r="H41" s="32"/>
      <c r="I41" s="1"/>
      <c r="J41" s="96"/>
      <c r="K41" s="90"/>
      <c r="L41" s="1" t="s">
        <v>57</v>
      </c>
      <c r="M41" s="12">
        <v>45728</v>
      </c>
      <c r="N41" s="1" t="s">
        <v>38</v>
      </c>
      <c r="O41" s="1" t="s">
        <v>58</v>
      </c>
      <c r="P41" s="1" t="s">
        <v>59</v>
      </c>
      <c r="Q41" s="10">
        <v>32000</v>
      </c>
      <c r="R41" s="13">
        <f t="shared" si="2"/>
        <v>32000</v>
      </c>
      <c r="S41" s="1">
        <v>0</v>
      </c>
      <c r="T41" s="1">
        <v>0</v>
      </c>
      <c r="U41" s="1">
        <f t="shared" si="4"/>
        <v>0</v>
      </c>
      <c r="V41" s="10" t="s">
        <v>41</v>
      </c>
      <c r="W41" s="1" t="s">
        <v>177</v>
      </c>
      <c r="X41" s="14">
        <f t="shared" si="5"/>
        <v>-20800</v>
      </c>
      <c r="Y41" s="14">
        <f t="shared" si="6"/>
        <v>-20800</v>
      </c>
      <c r="Z41" s="2">
        <f t="shared" si="7"/>
        <v>-0.65</v>
      </c>
      <c r="AA41" s="19">
        <v>52800</v>
      </c>
      <c r="AB41" s="1">
        <f t="shared" si="8"/>
        <v>18909.090909090904</v>
      </c>
      <c r="AC41" s="22">
        <f t="shared" si="9"/>
        <v>-0.64999999999999991</v>
      </c>
      <c r="AD41" s="23">
        <f t="shared" si="10"/>
        <v>-1890.9090909090955</v>
      </c>
    </row>
    <row r="42" spans="1:30" ht="21" customHeight="1">
      <c r="A42" s="26">
        <f t="shared" si="0"/>
        <v>42</v>
      </c>
      <c r="B42" s="41">
        <v>1</v>
      </c>
      <c r="C42" s="42">
        <v>24</v>
      </c>
      <c r="D42" s="1" t="s">
        <v>56</v>
      </c>
      <c r="E42" s="1" t="s">
        <v>289</v>
      </c>
      <c r="F42" s="1">
        <v>1</v>
      </c>
      <c r="G42" s="11">
        <f t="shared" si="1"/>
        <v>38000</v>
      </c>
      <c r="H42" s="32"/>
      <c r="I42" s="1"/>
      <c r="J42" s="96"/>
      <c r="K42" s="90"/>
      <c r="L42" s="1" t="s">
        <v>57</v>
      </c>
      <c r="M42" s="12">
        <v>45728</v>
      </c>
      <c r="N42" s="1" t="s">
        <v>38</v>
      </c>
      <c r="O42" s="1" t="s">
        <v>58</v>
      </c>
      <c r="P42" s="1" t="s">
        <v>60</v>
      </c>
      <c r="Q42" s="10">
        <v>38000</v>
      </c>
      <c r="R42" s="13">
        <f t="shared" si="2"/>
        <v>38000</v>
      </c>
      <c r="S42" s="1">
        <v>0</v>
      </c>
      <c r="T42" s="1">
        <v>0</v>
      </c>
      <c r="U42" s="1">
        <f t="shared" si="4"/>
        <v>0</v>
      </c>
      <c r="V42" s="10" t="s">
        <v>41</v>
      </c>
      <c r="W42" s="1" t="s">
        <v>177</v>
      </c>
      <c r="X42" s="14">
        <f t="shared" si="5"/>
        <v>38000</v>
      </c>
      <c r="Y42" s="14">
        <f t="shared" si="6"/>
        <v>38000</v>
      </c>
      <c r="Z42" s="2">
        <f t="shared" si="7"/>
        <v>1</v>
      </c>
      <c r="AA42" s="19">
        <v>0</v>
      </c>
      <c r="AB42" s="1">
        <f t="shared" si="8"/>
        <v>-34545.454545454544</v>
      </c>
      <c r="AC42" s="22">
        <f t="shared" si="9"/>
        <v>1</v>
      </c>
      <c r="AD42" s="23">
        <f t="shared" si="10"/>
        <v>3454.5454545454559</v>
      </c>
    </row>
    <row r="43" spans="1:30" ht="21" customHeight="1">
      <c r="A43" s="26">
        <f t="shared" si="0"/>
        <v>43</v>
      </c>
      <c r="B43" s="41">
        <v>1</v>
      </c>
      <c r="C43" s="42">
        <v>24</v>
      </c>
      <c r="D43" s="1" t="s">
        <v>56</v>
      </c>
      <c r="E43" s="1" t="s">
        <v>289</v>
      </c>
      <c r="F43" s="1">
        <v>1</v>
      </c>
      <c r="G43" s="11">
        <f t="shared" si="1"/>
        <v>29000</v>
      </c>
      <c r="H43" s="32"/>
      <c r="I43" s="1"/>
      <c r="J43" s="96"/>
      <c r="K43" s="90"/>
      <c r="L43" s="1" t="s">
        <v>57</v>
      </c>
      <c r="M43" s="12">
        <v>45728</v>
      </c>
      <c r="N43" s="1" t="s">
        <v>38</v>
      </c>
      <c r="O43" s="1" t="s">
        <v>39</v>
      </c>
      <c r="P43" s="1" t="s">
        <v>61</v>
      </c>
      <c r="Q43" s="10">
        <v>29000</v>
      </c>
      <c r="R43" s="13">
        <f t="shared" si="2"/>
        <v>29000</v>
      </c>
      <c r="S43" s="1">
        <v>0</v>
      </c>
      <c r="T43" s="1">
        <v>0</v>
      </c>
      <c r="U43" s="1">
        <f t="shared" si="4"/>
        <v>0</v>
      </c>
      <c r="V43" s="10" t="s">
        <v>41</v>
      </c>
      <c r="W43" s="1" t="s">
        <v>177</v>
      </c>
      <c r="X43" s="14">
        <f t="shared" si="5"/>
        <v>29000</v>
      </c>
      <c r="Y43" s="14">
        <f t="shared" si="6"/>
        <v>29000</v>
      </c>
      <c r="Z43" s="2">
        <f t="shared" si="7"/>
        <v>1</v>
      </c>
      <c r="AA43" s="19">
        <v>0</v>
      </c>
      <c r="AB43" s="1">
        <f t="shared" si="8"/>
        <v>-26363.63636363636</v>
      </c>
      <c r="AC43" s="22">
        <f t="shared" si="9"/>
        <v>1</v>
      </c>
      <c r="AD43" s="23">
        <f t="shared" si="10"/>
        <v>2636.3636363636397</v>
      </c>
    </row>
    <row r="44" spans="1:30" ht="21" customHeight="1">
      <c r="A44" s="26">
        <f t="shared" si="0"/>
        <v>44</v>
      </c>
      <c r="B44" s="41">
        <v>1</v>
      </c>
      <c r="C44" s="42">
        <v>24</v>
      </c>
      <c r="D44" s="1" t="s">
        <v>56</v>
      </c>
      <c r="E44" s="1" t="s">
        <v>289</v>
      </c>
      <c r="F44" s="1">
        <v>1</v>
      </c>
      <c r="G44" s="11">
        <f t="shared" si="1"/>
        <v>23000</v>
      </c>
      <c r="H44" s="32"/>
      <c r="I44" s="1"/>
      <c r="J44" s="96"/>
      <c r="K44" s="90"/>
      <c r="L44" s="1" t="s">
        <v>57</v>
      </c>
      <c r="M44" s="12">
        <v>45728</v>
      </c>
      <c r="N44" s="1" t="s">
        <v>38</v>
      </c>
      <c r="O44" s="1" t="s">
        <v>39</v>
      </c>
      <c r="P44" s="1" t="s">
        <v>62</v>
      </c>
      <c r="Q44" s="10">
        <v>23000</v>
      </c>
      <c r="R44" s="13">
        <f t="shared" si="2"/>
        <v>23000</v>
      </c>
      <c r="S44" s="1">
        <v>0</v>
      </c>
      <c r="T44" s="1">
        <v>0</v>
      </c>
      <c r="U44" s="1">
        <f t="shared" si="4"/>
        <v>0</v>
      </c>
      <c r="V44" s="10" t="s">
        <v>41</v>
      </c>
      <c r="W44" s="1" t="s">
        <v>177</v>
      </c>
      <c r="X44" s="14">
        <f t="shared" si="5"/>
        <v>23000</v>
      </c>
      <c r="Y44" s="14">
        <f t="shared" si="6"/>
        <v>23000</v>
      </c>
      <c r="Z44" s="2">
        <f t="shared" si="7"/>
        <v>1</v>
      </c>
      <c r="AA44" s="19">
        <v>0</v>
      </c>
      <c r="AB44" s="1">
        <f t="shared" si="8"/>
        <v>-20909.090909090908</v>
      </c>
      <c r="AC44" s="22">
        <f t="shared" si="9"/>
        <v>1</v>
      </c>
      <c r="AD44" s="23">
        <f t="shared" si="10"/>
        <v>2090.9090909090919</v>
      </c>
    </row>
    <row r="45" spans="1:30" ht="21" customHeight="1">
      <c r="A45" s="26">
        <f t="shared" si="0"/>
        <v>45</v>
      </c>
      <c r="B45" s="41">
        <v>1</v>
      </c>
      <c r="C45" s="42">
        <v>24</v>
      </c>
      <c r="D45" s="1" t="s">
        <v>37</v>
      </c>
      <c r="E45" s="9" t="s">
        <v>290</v>
      </c>
      <c r="F45" s="1">
        <v>1</v>
      </c>
      <c r="G45" s="11">
        <f t="shared" si="1"/>
        <v>22000</v>
      </c>
      <c r="H45" s="32"/>
      <c r="I45" s="18"/>
      <c r="J45" s="95">
        <v>45693</v>
      </c>
      <c r="K45" s="90"/>
      <c r="L45" s="12">
        <v>45762</v>
      </c>
      <c r="M45" s="40">
        <v>45679</v>
      </c>
      <c r="N45" s="1" t="s">
        <v>145</v>
      </c>
      <c r="O45" s="1" t="s">
        <v>79</v>
      </c>
      <c r="P45" s="1" t="s">
        <v>81</v>
      </c>
      <c r="Q45" s="10">
        <v>20000</v>
      </c>
      <c r="R45" s="13">
        <f t="shared" si="2"/>
        <v>20000</v>
      </c>
      <c r="S45" s="1">
        <f t="shared" ref="S45:S51" si="11">R45*0.1</f>
        <v>2000</v>
      </c>
      <c r="T45" s="1">
        <v>0</v>
      </c>
      <c r="U45" s="1">
        <f t="shared" si="4"/>
        <v>0</v>
      </c>
      <c r="V45" s="10" t="s">
        <v>41</v>
      </c>
      <c r="W45" s="1" t="s">
        <v>244</v>
      </c>
      <c r="X45" s="14">
        <f t="shared" si="5"/>
        <v>22000</v>
      </c>
      <c r="Y45" s="14">
        <f t="shared" si="6"/>
        <v>20000</v>
      </c>
      <c r="Z45" s="2">
        <f t="shared" si="7"/>
        <v>0.90909090909090906</v>
      </c>
      <c r="AA45" s="19">
        <v>0</v>
      </c>
      <c r="AB45" s="1">
        <f t="shared" si="8"/>
        <v>-20000</v>
      </c>
      <c r="AC45" s="22">
        <f t="shared" si="9"/>
        <v>1</v>
      </c>
      <c r="AD45" s="23">
        <f t="shared" si="10"/>
        <v>2000</v>
      </c>
    </row>
    <row r="46" spans="1:30" ht="21" customHeight="1">
      <c r="A46" s="26">
        <f t="shared" si="0"/>
        <v>46</v>
      </c>
      <c r="B46" s="41">
        <v>1</v>
      </c>
      <c r="C46" s="42">
        <v>31</v>
      </c>
      <c r="D46" s="1" t="s">
        <v>291</v>
      </c>
      <c r="E46" s="9" t="s">
        <v>292</v>
      </c>
      <c r="F46" s="1">
        <v>1</v>
      </c>
      <c r="G46" s="11">
        <f t="shared" si="1"/>
        <v>22000</v>
      </c>
      <c r="H46" s="32"/>
      <c r="I46" s="18"/>
      <c r="J46" s="95">
        <v>45694</v>
      </c>
      <c r="K46" s="90"/>
      <c r="L46" s="1" t="s">
        <v>228</v>
      </c>
      <c r="M46" s="25" t="s">
        <v>57</v>
      </c>
      <c r="N46" s="1" t="s">
        <v>38</v>
      </c>
      <c r="O46" s="1"/>
      <c r="P46" s="1" t="s">
        <v>293</v>
      </c>
      <c r="Q46" s="10">
        <v>20000</v>
      </c>
      <c r="R46" s="13">
        <f t="shared" si="2"/>
        <v>20000</v>
      </c>
      <c r="S46" s="1">
        <f t="shared" si="11"/>
        <v>2000</v>
      </c>
      <c r="T46" s="1">
        <v>0</v>
      </c>
      <c r="U46" s="1">
        <f t="shared" si="4"/>
        <v>0</v>
      </c>
      <c r="V46" s="10" t="s">
        <v>41</v>
      </c>
      <c r="W46" s="1" t="s">
        <v>294</v>
      </c>
      <c r="X46" s="14">
        <f t="shared" si="5"/>
        <v>-16940</v>
      </c>
      <c r="Y46" s="14">
        <f t="shared" si="6"/>
        <v>-18940</v>
      </c>
      <c r="Z46" s="2">
        <f t="shared" si="7"/>
        <v>-0.86090909090909096</v>
      </c>
      <c r="AA46" s="19">
        <v>38940</v>
      </c>
      <c r="AB46" s="1">
        <f t="shared" si="8"/>
        <v>15400</v>
      </c>
      <c r="AC46" s="22">
        <f t="shared" si="9"/>
        <v>-0.77</v>
      </c>
      <c r="AD46" s="23">
        <f t="shared" si="10"/>
        <v>-1540</v>
      </c>
    </row>
    <row r="47" spans="1:30" ht="21" customHeight="1">
      <c r="A47" s="26">
        <f t="shared" si="0"/>
        <v>47</v>
      </c>
      <c r="B47" s="41">
        <v>1</v>
      </c>
      <c r="C47" s="42">
        <v>31</v>
      </c>
      <c r="D47" s="1" t="s">
        <v>291</v>
      </c>
      <c r="E47" s="9" t="s">
        <v>292</v>
      </c>
      <c r="F47" s="1">
        <v>1</v>
      </c>
      <c r="G47" s="11">
        <f t="shared" si="1"/>
        <v>46200</v>
      </c>
      <c r="H47" s="32"/>
      <c r="I47" s="18"/>
      <c r="J47" s="95">
        <v>45694</v>
      </c>
      <c r="K47" s="90"/>
      <c r="L47" s="1" t="s">
        <v>228</v>
      </c>
      <c r="M47" s="25" t="s">
        <v>57</v>
      </c>
      <c r="N47" s="1" t="s">
        <v>42</v>
      </c>
      <c r="O47" s="1"/>
      <c r="P47" s="1" t="s">
        <v>295</v>
      </c>
      <c r="Q47" s="10">
        <v>42000</v>
      </c>
      <c r="R47" s="13">
        <f t="shared" si="2"/>
        <v>42000</v>
      </c>
      <c r="S47" s="1">
        <f t="shared" si="11"/>
        <v>4200</v>
      </c>
      <c r="T47" s="1">
        <v>0</v>
      </c>
      <c r="U47" s="1">
        <f t="shared" si="4"/>
        <v>0</v>
      </c>
      <c r="V47" s="10" t="s">
        <v>41</v>
      </c>
      <c r="W47" s="1" t="s">
        <v>294</v>
      </c>
      <c r="X47" s="14">
        <f t="shared" si="5"/>
        <v>46200</v>
      </c>
      <c r="Y47" s="14">
        <f t="shared" si="6"/>
        <v>42000</v>
      </c>
      <c r="Z47" s="2">
        <f t="shared" si="7"/>
        <v>0.90909090909090906</v>
      </c>
      <c r="AA47" s="19">
        <v>0</v>
      </c>
      <c r="AB47" s="1">
        <f t="shared" si="8"/>
        <v>-42000</v>
      </c>
      <c r="AC47" s="22">
        <f t="shared" si="9"/>
        <v>1</v>
      </c>
      <c r="AD47" s="23">
        <f t="shared" si="10"/>
        <v>4200</v>
      </c>
    </row>
    <row r="48" spans="1:30" ht="21" customHeight="1">
      <c r="A48" s="26">
        <f t="shared" si="0"/>
        <v>48</v>
      </c>
      <c r="B48" s="41">
        <v>1</v>
      </c>
      <c r="C48" s="42">
        <v>31</v>
      </c>
      <c r="D48" s="1" t="s">
        <v>37</v>
      </c>
      <c r="E48" s="9" t="s">
        <v>296</v>
      </c>
      <c r="F48" s="1">
        <v>2</v>
      </c>
      <c r="G48" s="11">
        <f t="shared" si="1"/>
        <v>44000</v>
      </c>
      <c r="H48" s="32"/>
      <c r="I48" s="18"/>
      <c r="J48" s="95">
        <v>45695</v>
      </c>
      <c r="K48" s="90"/>
      <c r="L48" s="12">
        <v>45701</v>
      </c>
      <c r="M48" s="40">
        <v>45688</v>
      </c>
      <c r="N48" s="1" t="s">
        <v>38</v>
      </c>
      <c r="O48" s="1" t="s">
        <v>39</v>
      </c>
      <c r="P48" s="1" t="s">
        <v>297</v>
      </c>
      <c r="Q48" s="10">
        <v>20000</v>
      </c>
      <c r="R48" s="13">
        <f t="shared" si="2"/>
        <v>40000</v>
      </c>
      <c r="S48" s="1">
        <f t="shared" si="11"/>
        <v>4000</v>
      </c>
      <c r="T48" s="1">
        <v>0</v>
      </c>
      <c r="U48" s="1">
        <f t="shared" si="4"/>
        <v>0</v>
      </c>
      <c r="V48" s="10" t="s">
        <v>41</v>
      </c>
      <c r="W48" s="1" t="s">
        <v>183</v>
      </c>
      <c r="X48" s="14">
        <f t="shared" si="5"/>
        <v>44000</v>
      </c>
      <c r="Y48" s="14">
        <f t="shared" si="6"/>
        <v>40000</v>
      </c>
      <c r="Z48" s="2">
        <f t="shared" si="7"/>
        <v>0.90909090909090906</v>
      </c>
      <c r="AA48" s="19">
        <v>0</v>
      </c>
      <c r="AB48" s="1">
        <f t="shared" si="8"/>
        <v>-40000</v>
      </c>
      <c r="AC48" s="22">
        <f t="shared" si="9"/>
        <v>1</v>
      </c>
      <c r="AD48" s="23">
        <f t="shared" si="10"/>
        <v>4000</v>
      </c>
    </row>
    <row r="49" spans="1:30" ht="21" customHeight="1">
      <c r="A49" s="26">
        <f t="shared" si="0"/>
        <v>49</v>
      </c>
      <c r="B49" s="41">
        <v>1</v>
      </c>
      <c r="C49" s="42">
        <v>31</v>
      </c>
      <c r="D49" s="1" t="s">
        <v>37</v>
      </c>
      <c r="E49" s="9" t="s">
        <v>298</v>
      </c>
      <c r="F49" s="1">
        <v>5</v>
      </c>
      <c r="G49" s="11">
        <f t="shared" si="1"/>
        <v>110000</v>
      </c>
      <c r="H49" s="32"/>
      <c r="I49" s="18"/>
      <c r="J49" s="95">
        <v>45695</v>
      </c>
      <c r="K49" s="90"/>
      <c r="L49" s="12">
        <v>45701</v>
      </c>
      <c r="M49" s="40">
        <v>45688</v>
      </c>
      <c r="N49" s="1" t="s">
        <v>38</v>
      </c>
      <c r="O49" s="1" t="s">
        <v>39</v>
      </c>
      <c r="P49" s="1" t="s">
        <v>297</v>
      </c>
      <c r="Q49" s="10">
        <v>20000</v>
      </c>
      <c r="R49" s="13">
        <f t="shared" si="2"/>
        <v>100000</v>
      </c>
      <c r="S49" s="1">
        <f t="shared" si="11"/>
        <v>10000</v>
      </c>
      <c r="T49" s="1">
        <v>0</v>
      </c>
      <c r="U49" s="1">
        <f t="shared" si="4"/>
        <v>0</v>
      </c>
      <c r="V49" s="10" t="s">
        <v>41</v>
      </c>
      <c r="W49" s="1" t="s">
        <v>183</v>
      </c>
      <c r="X49" s="14">
        <f t="shared" si="5"/>
        <v>110000</v>
      </c>
      <c r="Y49" s="14">
        <f t="shared" si="6"/>
        <v>100000</v>
      </c>
      <c r="Z49" s="2">
        <f t="shared" si="7"/>
        <v>0.90909090909090906</v>
      </c>
      <c r="AA49" s="19">
        <v>0</v>
      </c>
      <c r="AB49" s="1">
        <f t="shared" si="8"/>
        <v>-99999.999999999985</v>
      </c>
      <c r="AC49" s="22">
        <f t="shared" si="9"/>
        <v>1</v>
      </c>
      <c r="AD49" s="23">
        <f t="shared" si="10"/>
        <v>10000.000000000015</v>
      </c>
    </row>
    <row r="50" spans="1:30" ht="21" customHeight="1">
      <c r="A50" s="26">
        <f t="shared" si="0"/>
        <v>50</v>
      </c>
      <c r="B50" s="41">
        <v>1</v>
      </c>
      <c r="C50" s="42">
        <v>31</v>
      </c>
      <c r="D50" s="1" t="s">
        <v>37</v>
      </c>
      <c r="E50" s="9" t="s">
        <v>299</v>
      </c>
      <c r="F50" s="1">
        <v>2</v>
      </c>
      <c r="G50" s="11">
        <f t="shared" si="1"/>
        <v>33000</v>
      </c>
      <c r="H50" s="32"/>
      <c r="I50" s="18"/>
      <c r="J50" s="95">
        <v>45695</v>
      </c>
      <c r="K50" s="90"/>
      <c r="L50" s="12">
        <v>45701</v>
      </c>
      <c r="M50" s="40">
        <v>45688</v>
      </c>
      <c r="N50" s="1" t="s">
        <v>38</v>
      </c>
      <c r="O50" s="1" t="s">
        <v>39</v>
      </c>
      <c r="P50" s="1" t="s">
        <v>300</v>
      </c>
      <c r="Q50" s="10">
        <v>15000</v>
      </c>
      <c r="R50" s="13">
        <f t="shared" si="2"/>
        <v>30000</v>
      </c>
      <c r="S50" s="1">
        <f t="shared" si="11"/>
        <v>3000</v>
      </c>
      <c r="T50" s="1">
        <v>0</v>
      </c>
      <c r="U50" s="1">
        <f t="shared" si="4"/>
        <v>0</v>
      </c>
      <c r="V50" s="10" t="s">
        <v>41</v>
      </c>
      <c r="W50" s="1" t="s">
        <v>183</v>
      </c>
      <c r="X50" s="14">
        <f t="shared" si="5"/>
        <v>33000</v>
      </c>
      <c r="Y50" s="14">
        <f t="shared" si="6"/>
        <v>30000</v>
      </c>
      <c r="Z50" s="2">
        <f t="shared" si="7"/>
        <v>0.90909090909090906</v>
      </c>
      <c r="AA50" s="19">
        <v>0</v>
      </c>
      <c r="AB50" s="1">
        <f t="shared" si="8"/>
        <v>-29999.999999999996</v>
      </c>
      <c r="AC50" s="22">
        <f t="shared" si="9"/>
        <v>1</v>
      </c>
      <c r="AD50" s="23">
        <f t="shared" si="10"/>
        <v>3000.0000000000036</v>
      </c>
    </row>
    <row r="51" spans="1:30" ht="21" customHeight="1">
      <c r="A51" s="26">
        <f t="shared" si="0"/>
        <v>51</v>
      </c>
      <c r="B51" s="41">
        <v>1</v>
      </c>
      <c r="C51" s="42">
        <v>31</v>
      </c>
      <c r="D51" s="1" t="s">
        <v>37</v>
      </c>
      <c r="E51" s="9" t="s">
        <v>301</v>
      </c>
      <c r="F51" s="1">
        <v>1</v>
      </c>
      <c r="G51" s="11">
        <f t="shared" si="1"/>
        <v>35200</v>
      </c>
      <c r="H51" s="32"/>
      <c r="I51" s="18"/>
      <c r="J51" s="95">
        <v>45695</v>
      </c>
      <c r="K51" s="90"/>
      <c r="L51" s="12">
        <v>45701</v>
      </c>
      <c r="M51" s="40">
        <v>45688</v>
      </c>
      <c r="N51" s="1" t="s">
        <v>38</v>
      </c>
      <c r="O51" s="1" t="s">
        <v>39</v>
      </c>
      <c r="P51" s="1" t="s">
        <v>93</v>
      </c>
      <c r="Q51" s="10">
        <v>32000</v>
      </c>
      <c r="R51" s="13">
        <f t="shared" si="2"/>
        <v>32000</v>
      </c>
      <c r="S51" s="1">
        <f t="shared" si="11"/>
        <v>3200</v>
      </c>
      <c r="T51" s="1">
        <v>0</v>
      </c>
      <c r="U51" s="1">
        <f t="shared" si="4"/>
        <v>0</v>
      </c>
      <c r="V51" s="10" t="s">
        <v>41</v>
      </c>
      <c r="W51" s="1" t="s">
        <v>183</v>
      </c>
      <c r="X51" s="14">
        <f t="shared" si="5"/>
        <v>35200</v>
      </c>
      <c r="Y51" s="14">
        <f t="shared" si="6"/>
        <v>32000</v>
      </c>
      <c r="Z51" s="2">
        <f t="shared" si="7"/>
        <v>0.90909090909090906</v>
      </c>
      <c r="AA51" s="19">
        <v>0</v>
      </c>
      <c r="AB51" s="1">
        <f t="shared" si="8"/>
        <v>-31999.999999999996</v>
      </c>
      <c r="AC51" s="22">
        <f t="shared" si="9"/>
        <v>1</v>
      </c>
      <c r="AD51" s="23">
        <f t="shared" si="10"/>
        <v>3200.0000000000036</v>
      </c>
    </row>
    <row r="52" spans="1:30" ht="2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1"/>
      <c r="AB52" s="1"/>
      <c r="AC52" s="1"/>
      <c r="AD52" s="1"/>
    </row>
    <row r="53" spans="1:30" ht="21" customHeight="1">
      <c r="A53" s="26">
        <f t="shared" ref="A53:A100" si="12">ROW()</f>
        <v>53</v>
      </c>
      <c r="B53" s="43">
        <v>2</v>
      </c>
      <c r="C53" s="44">
        <v>5</v>
      </c>
      <c r="D53" s="1" t="s">
        <v>106</v>
      </c>
      <c r="E53" s="9" t="s">
        <v>302</v>
      </c>
      <c r="F53" s="1">
        <v>1</v>
      </c>
      <c r="G53" s="11">
        <f t="shared" ref="G53:G100" si="13">R53+S53+T53+U53</f>
        <v>50600</v>
      </c>
      <c r="H53" s="32"/>
      <c r="I53" s="18"/>
      <c r="J53" s="95">
        <v>45706</v>
      </c>
      <c r="K53" s="90"/>
      <c r="L53" s="12">
        <v>45701</v>
      </c>
      <c r="M53" s="25" t="s">
        <v>57</v>
      </c>
      <c r="N53" s="1" t="s">
        <v>38</v>
      </c>
      <c r="O53" s="1" t="s">
        <v>39</v>
      </c>
      <c r="P53" s="1" t="s">
        <v>83</v>
      </c>
      <c r="Q53" s="10">
        <v>26000</v>
      </c>
      <c r="R53" s="13">
        <f t="shared" ref="R53:R100" si="14">Q53*F53</f>
        <v>26000</v>
      </c>
      <c r="S53" s="1">
        <f t="shared" ref="S53:S86" si="15">R53*0.1</f>
        <v>2600</v>
      </c>
      <c r="T53" s="1">
        <v>20000</v>
      </c>
      <c r="U53" s="1">
        <f t="shared" ref="U53:U100" si="16">T53*0.1</f>
        <v>2000</v>
      </c>
      <c r="V53" s="10" t="s">
        <v>41</v>
      </c>
      <c r="W53" s="1" t="s">
        <v>303</v>
      </c>
      <c r="X53" s="14">
        <f t="shared" ref="X53:X100" si="17">G53-AA53</f>
        <v>2200</v>
      </c>
      <c r="Y53" s="14">
        <f t="shared" ref="Y53:Y100" si="18">X53-S53</f>
        <v>-400</v>
      </c>
      <c r="Z53" s="2">
        <f t="shared" ref="Z53:Z100" si="19">Y53/G53</f>
        <v>-7.9051383399209481E-3</v>
      </c>
      <c r="AA53" s="19">
        <v>48400</v>
      </c>
      <c r="AB53" s="1">
        <f t="shared" ref="AB53:AB100" si="20">(AA53/1.1)-(G53/1.1)</f>
        <v>-1999.9999999999927</v>
      </c>
      <c r="AC53" s="22">
        <f t="shared" ref="AC53:AC100" si="21">((G53/1.1) - (AA53/1.1)) / (G53/1.1) * 1</f>
        <v>4.3478260869565064E-2</v>
      </c>
      <c r="AD53" s="23">
        <f t="shared" ref="AD53:AD100" si="22">(G53 - (G53 / 1.1)) - (AA53 - (AA53 / 1.1))</f>
        <v>200.00000000000728</v>
      </c>
    </row>
    <row r="54" spans="1:30" ht="21" customHeight="1">
      <c r="A54" s="26">
        <f t="shared" si="12"/>
        <v>54</v>
      </c>
      <c r="B54" s="43">
        <v>2</v>
      </c>
      <c r="C54" s="44">
        <v>5</v>
      </c>
      <c r="D54" s="1" t="s">
        <v>106</v>
      </c>
      <c r="E54" s="9" t="s">
        <v>304</v>
      </c>
      <c r="F54" s="1">
        <v>1</v>
      </c>
      <c r="G54" s="11">
        <f t="shared" si="13"/>
        <v>99000</v>
      </c>
      <c r="H54" s="32"/>
      <c r="I54" s="18"/>
      <c r="J54" s="95">
        <v>45706</v>
      </c>
      <c r="K54" s="90"/>
      <c r="L54" s="12">
        <v>45701</v>
      </c>
      <c r="M54" s="25" t="s">
        <v>57</v>
      </c>
      <c r="N54" s="1" t="s">
        <v>38</v>
      </c>
      <c r="O54" s="1" t="s">
        <v>39</v>
      </c>
      <c r="P54" s="1" t="s">
        <v>305</v>
      </c>
      <c r="Q54" s="10">
        <v>90000</v>
      </c>
      <c r="R54" s="13">
        <f t="shared" si="14"/>
        <v>90000</v>
      </c>
      <c r="S54" s="1">
        <f t="shared" si="15"/>
        <v>9000</v>
      </c>
      <c r="T54" s="1">
        <v>0</v>
      </c>
      <c r="U54" s="1">
        <f t="shared" si="16"/>
        <v>0</v>
      </c>
      <c r="V54" s="10" t="s">
        <v>41</v>
      </c>
      <c r="W54" s="1" t="s">
        <v>303</v>
      </c>
      <c r="X54" s="14">
        <f t="shared" si="17"/>
        <v>99000</v>
      </c>
      <c r="Y54" s="14">
        <f t="shared" si="18"/>
        <v>90000</v>
      </c>
      <c r="Z54" s="2">
        <f t="shared" si="19"/>
        <v>0.90909090909090906</v>
      </c>
      <c r="AA54" s="19">
        <v>0</v>
      </c>
      <c r="AB54" s="1">
        <f t="shared" si="20"/>
        <v>-90000</v>
      </c>
      <c r="AC54" s="22">
        <f t="shared" si="21"/>
        <v>1</v>
      </c>
      <c r="AD54" s="23">
        <f t="shared" si="22"/>
        <v>9000</v>
      </c>
    </row>
    <row r="55" spans="1:30" ht="21" customHeight="1">
      <c r="A55" s="26">
        <f t="shared" si="12"/>
        <v>55</v>
      </c>
      <c r="B55" s="43">
        <v>2</v>
      </c>
      <c r="C55" s="44">
        <v>5</v>
      </c>
      <c r="D55" s="1" t="s">
        <v>37</v>
      </c>
      <c r="E55" s="9" t="s">
        <v>306</v>
      </c>
      <c r="F55" s="1">
        <v>3</v>
      </c>
      <c r="G55" s="11">
        <f t="shared" si="13"/>
        <v>49500</v>
      </c>
      <c r="H55" s="32"/>
      <c r="I55" s="18"/>
      <c r="J55" s="95">
        <v>45699</v>
      </c>
      <c r="K55" s="90"/>
      <c r="L55" s="12">
        <v>45701</v>
      </c>
      <c r="M55" s="40">
        <v>45695</v>
      </c>
      <c r="N55" s="1" t="s">
        <v>38</v>
      </c>
      <c r="O55" s="1" t="s">
        <v>39</v>
      </c>
      <c r="P55" s="1" t="s">
        <v>139</v>
      </c>
      <c r="Q55" s="10">
        <v>15000</v>
      </c>
      <c r="R55" s="13">
        <f t="shared" si="14"/>
        <v>45000</v>
      </c>
      <c r="S55" s="1">
        <f t="shared" si="15"/>
        <v>4500</v>
      </c>
      <c r="T55" s="1">
        <v>0</v>
      </c>
      <c r="U55" s="1">
        <f t="shared" si="16"/>
        <v>0</v>
      </c>
      <c r="V55" s="10" t="s">
        <v>41</v>
      </c>
      <c r="W55" s="1" t="s">
        <v>244</v>
      </c>
      <c r="X55" s="14">
        <f t="shared" si="17"/>
        <v>24200</v>
      </c>
      <c r="Y55" s="14">
        <f t="shared" si="18"/>
        <v>19700</v>
      </c>
      <c r="Z55" s="2">
        <f t="shared" si="19"/>
        <v>0.39797979797979799</v>
      </c>
      <c r="AA55" s="19">
        <v>25300</v>
      </c>
      <c r="AB55" s="1">
        <f t="shared" si="20"/>
        <v>-22000.000000000004</v>
      </c>
      <c r="AC55" s="22">
        <f t="shared" si="21"/>
        <v>0.48888888888888898</v>
      </c>
      <c r="AD55" s="23">
        <f t="shared" si="22"/>
        <v>2199.9999999999964</v>
      </c>
    </row>
    <row r="56" spans="1:30" ht="21" customHeight="1">
      <c r="A56" s="26">
        <f t="shared" si="12"/>
        <v>56</v>
      </c>
      <c r="B56" s="43">
        <v>2</v>
      </c>
      <c r="C56" s="44">
        <v>5</v>
      </c>
      <c r="D56" s="1" t="s">
        <v>37</v>
      </c>
      <c r="E56" s="9" t="s">
        <v>306</v>
      </c>
      <c r="F56" s="1">
        <v>1</v>
      </c>
      <c r="G56" s="11">
        <f t="shared" si="13"/>
        <v>20900</v>
      </c>
      <c r="H56" s="32"/>
      <c r="I56" s="18"/>
      <c r="J56" s="95">
        <v>45699</v>
      </c>
      <c r="K56" s="90"/>
      <c r="L56" s="12">
        <v>45701</v>
      </c>
      <c r="M56" s="40">
        <v>45695</v>
      </c>
      <c r="N56" s="1" t="s">
        <v>38</v>
      </c>
      <c r="O56" s="1" t="s">
        <v>39</v>
      </c>
      <c r="P56" s="1" t="s">
        <v>139</v>
      </c>
      <c r="Q56" s="10">
        <v>19000</v>
      </c>
      <c r="R56" s="13">
        <f t="shared" si="14"/>
        <v>19000</v>
      </c>
      <c r="S56" s="1">
        <f t="shared" si="15"/>
        <v>1900</v>
      </c>
      <c r="T56" s="1">
        <v>0</v>
      </c>
      <c r="U56" s="1">
        <f t="shared" si="16"/>
        <v>0</v>
      </c>
      <c r="V56" s="10" t="s">
        <v>41</v>
      </c>
      <c r="W56" s="1" t="s">
        <v>244</v>
      </c>
      <c r="X56" s="14">
        <f t="shared" si="17"/>
        <v>-4400</v>
      </c>
      <c r="Y56" s="14">
        <f t="shared" si="18"/>
        <v>-6300</v>
      </c>
      <c r="Z56" s="2">
        <f t="shared" si="19"/>
        <v>-0.30143540669856461</v>
      </c>
      <c r="AA56" s="19">
        <v>25300</v>
      </c>
      <c r="AB56" s="1">
        <f t="shared" si="20"/>
        <v>3999.9999999999964</v>
      </c>
      <c r="AC56" s="22">
        <f t="shared" si="21"/>
        <v>-0.21052631578947351</v>
      </c>
      <c r="AD56" s="23">
        <f t="shared" si="22"/>
        <v>-400.00000000000364</v>
      </c>
    </row>
    <row r="57" spans="1:30" ht="21" customHeight="1">
      <c r="A57" s="26">
        <f t="shared" si="12"/>
        <v>57</v>
      </c>
      <c r="B57" s="43">
        <v>2</v>
      </c>
      <c r="C57" s="44">
        <v>5</v>
      </c>
      <c r="D57" s="1" t="s">
        <v>238</v>
      </c>
      <c r="E57" s="9" t="s">
        <v>307</v>
      </c>
      <c r="F57" s="1">
        <v>1</v>
      </c>
      <c r="G57" s="11">
        <f t="shared" si="13"/>
        <v>38500</v>
      </c>
      <c r="H57" s="32"/>
      <c r="I57" s="18"/>
      <c r="J57" s="95">
        <v>45716</v>
      </c>
      <c r="K57" s="90"/>
      <c r="L57" s="12">
        <v>45701</v>
      </c>
      <c r="M57" s="25" t="s">
        <v>57</v>
      </c>
      <c r="N57" s="1" t="s">
        <v>155</v>
      </c>
      <c r="O57" s="1" t="s">
        <v>39</v>
      </c>
      <c r="P57" s="1" t="s">
        <v>72</v>
      </c>
      <c r="Q57" s="10">
        <v>35000</v>
      </c>
      <c r="R57" s="13">
        <f t="shared" si="14"/>
        <v>35000</v>
      </c>
      <c r="S57" s="1">
        <f t="shared" si="15"/>
        <v>3500</v>
      </c>
      <c r="T57" s="1">
        <v>0</v>
      </c>
      <c r="U57" s="1">
        <f t="shared" si="16"/>
        <v>0</v>
      </c>
      <c r="V57" s="10" t="s">
        <v>41</v>
      </c>
      <c r="W57" s="1" t="s">
        <v>238</v>
      </c>
      <c r="X57" s="14">
        <f t="shared" si="17"/>
        <v>13750</v>
      </c>
      <c r="Y57" s="14">
        <f t="shared" si="18"/>
        <v>10250</v>
      </c>
      <c r="Z57" s="2">
        <f t="shared" si="19"/>
        <v>0.26623376623376621</v>
      </c>
      <c r="AA57" s="19">
        <v>24750</v>
      </c>
      <c r="AB57" s="1">
        <f t="shared" si="20"/>
        <v>-12500</v>
      </c>
      <c r="AC57" s="22">
        <f t="shared" si="21"/>
        <v>0.35714285714285715</v>
      </c>
      <c r="AD57" s="23">
        <f t="shared" si="22"/>
        <v>1250</v>
      </c>
    </row>
    <row r="58" spans="1:30" ht="21" customHeight="1">
      <c r="A58" s="26">
        <f t="shared" si="12"/>
        <v>58</v>
      </c>
      <c r="B58" s="43">
        <v>2</v>
      </c>
      <c r="C58" s="44">
        <v>7</v>
      </c>
      <c r="D58" s="1" t="s">
        <v>101</v>
      </c>
      <c r="E58" s="9" t="s">
        <v>102</v>
      </c>
      <c r="F58" s="1">
        <v>1</v>
      </c>
      <c r="G58" s="11">
        <f t="shared" si="13"/>
        <v>550000</v>
      </c>
      <c r="H58" s="32"/>
      <c r="I58" s="18"/>
      <c r="J58" s="95">
        <v>45695</v>
      </c>
      <c r="K58" s="90"/>
      <c r="L58" s="12">
        <v>45693</v>
      </c>
      <c r="M58" s="25" t="s">
        <v>57</v>
      </c>
      <c r="N58" s="1"/>
      <c r="O58" s="1"/>
      <c r="P58" s="1"/>
      <c r="Q58" s="10">
        <v>500000</v>
      </c>
      <c r="R58" s="13">
        <f t="shared" si="14"/>
        <v>500000</v>
      </c>
      <c r="S58" s="1">
        <f t="shared" si="15"/>
        <v>50000</v>
      </c>
      <c r="T58" s="1">
        <v>0</v>
      </c>
      <c r="U58" s="1">
        <f t="shared" si="16"/>
        <v>0</v>
      </c>
      <c r="V58" s="10" t="s">
        <v>50</v>
      </c>
      <c r="W58" s="1" t="s">
        <v>101</v>
      </c>
      <c r="X58" s="14">
        <f t="shared" si="17"/>
        <v>525250</v>
      </c>
      <c r="Y58" s="14">
        <f t="shared" si="18"/>
        <v>475250</v>
      </c>
      <c r="Z58" s="2">
        <f t="shared" si="19"/>
        <v>0.86409090909090913</v>
      </c>
      <c r="AA58" s="19">
        <v>24750</v>
      </c>
      <c r="AB58" s="1">
        <f t="shared" si="20"/>
        <v>-477499.99999999994</v>
      </c>
      <c r="AC58" s="22">
        <f t="shared" si="21"/>
        <v>0.95499999999999996</v>
      </c>
      <c r="AD58" s="23">
        <f t="shared" si="22"/>
        <v>47750.000000000058</v>
      </c>
    </row>
    <row r="59" spans="1:30" ht="21" customHeight="1">
      <c r="A59" s="26">
        <f t="shared" si="12"/>
        <v>59</v>
      </c>
      <c r="B59" s="43">
        <v>2</v>
      </c>
      <c r="C59" s="44">
        <v>7</v>
      </c>
      <c r="D59" s="1" t="s">
        <v>70</v>
      </c>
      <c r="E59" s="9" t="s">
        <v>308</v>
      </c>
      <c r="F59" s="1">
        <v>1</v>
      </c>
      <c r="G59" s="11">
        <f t="shared" si="13"/>
        <v>13200</v>
      </c>
      <c r="H59" s="32"/>
      <c r="I59" s="18"/>
      <c r="J59" s="95">
        <v>45700</v>
      </c>
      <c r="K59" s="90"/>
      <c r="L59" s="12">
        <v>45701</v>
      </c>
      <c r="M59" s="12">
        <v>45728</v>
      </c>
      <c r="N59" s="1" t="s">
        <v>45</v>
      </c>
      <c r="O59" s="1"/>
      <c r="P59" s="1" t="s">
        <v>35</v>
      </c>
      <c r="Q59" s="10">
        <v>12000</v>
      </c>
      <c r="R59" s="13">
        <f t="shared" si="14"/>
        <v>12000</v>
      </c>
      <c r="S59" s="1">
        <f t="shared" si="15"/>
        <v>1200</v>
      </c>
      <c r="T59" s="1">
        <v>0</v>
      </c>
      <c r="U59" s="1">
        <f t="shared" si="16"/>
        <v>0</v>
      </c>
      <c r="V59" s="10" t="s">
        <v>36</v>
      </c>
      <c r="W59" s="1" t="s">
        <v>275</v>
      </c>
      <c r="X59" s="14">
        <f t="shared" si="17"/>
        <v>13200</v>
      </c>
      <c r="Y59" s="14">
        <f t="shared" si="18"/>
        <v>12000</v>
      </c>
      <c r="Z59" s="2">
        <f t="shared" si="19"/>
        <v>0.90909090909090906</v>
      </c>
      <c r="AA59" s="19">
        <v>0</v>
      </c>
      <c r="AB59" s="1">
        <f t="shared" si="20"/>
        <v>-11999.999999999998</v>
      </c>
      <c r="AC59" s="22">
        <f t="shared" si="21"/>
        <v>1</v>
      </c>
      <c r="AD59" s="23">
        <f t="shared" si="22"/>
        <v>1200.0000000000018</v>
      </c>
    </row>
    <row r="60" spans="1:30" ht="21" customHeight="1">
      <c r="A60" s="26">
        <f t="shared" si="12"/>
        <v>60</v>
      </c>
      <c r="B60" s="43">
        <v>2</v>
      </c>
      <c r="C60" s="44">
        <v>7</v>
      </c>
      <c r="D60" s="1" t="s">
        <v>70</v>
      </c>
      <c r="E60" s="9" t="s">
        <v>309</v>
      </c>
      <c r="F60" s="1">
        <v>1</v>
      </c>
      <c r="G60" s="11">
        <f t="shared" si="13"/>
        <v>8800</v>
      </c>
      <c r="H60" s="32"/>
      <c r="I60" s="18"/>
      <c r="J60" s="95">
        <v>45700</v>
      </c>
      <c r="K60" s="90"/>
      <c r="L60" s="12">
        <v>45701</v>
      </c>
      <c r="M60" s="12">
        <v>45728</v>
      </c>
      <c r="N60" s="1" t="s">
        <v>54</v>
      </c>
      <c r="O60" s="1"/>
      <c r="P60" s="1" t="s">
        <v>49</v>
      </c>
      <c r="Q60" s="10">
        <v>8000</v>
      </c>
      <c r="R60" s="13">
        <f t="shared" si="14"/>
        <v>8000</v>
      </c>
      <c r="S60" s="1">
        <f t="shared" si="15"/>
        <v>800</v>
      </c>
      <c r="T60" s="1">
        <v>0</v>
      </c>
      <c r="U60" s="1">
        <f t="shared" si="16"/>
        <v>0</v>
      </c>
      <c r="V60" s="10" t="s">
        <v>50</v>
      </c>
      <c r="W60" s="1" t="s">
        <v>275</v>
      </c>
      <c r="X60" s="14">
        <f t="shared" si="17"/>
        <v>8800</v>
      </c>
      <c r="Y60" s="14">
        <f t="shared" si="18"/>
        <v>8000</v>
      </c>
      <c r="Z60" s="2">
        <f t="shared" si="19"/>
        <v>0.90909090909090906</v>
      </c>
      <c r="AA60" s="19">
        <v>0</v>
      </c>
      <c r="AB60" s="1">
        <f t="shared" si="20"/>
        <v>-7999.9999999999991</v>
      </c>
      <c r="AC60" s="22">
        <f t="shared" si="21"/>
        <v>1</v>
      </c>
      <c r="AD60" s="23">
        <f t="shared" si="22"/>
        <v>800.00000000000091</v>
      </c>
    </row>
    <row r="61" spans="1:30" ht="21" customHeight="1">
      <c r="A61" s="26">
        <f t="shared" si="12"/>
        <v>61</v>
      </c>
      <c r="B61" s="43">
        <v>2</v>
      </c>
      <c r="C61" s="44">
        <v>7</v>
      </c>
      <c r="D61" s="1" t="s">
        <v>70</v>
      </c>
      <c r="E61" s="9" t="s">
        <v>310</v>
      </c>
      <c r="F61" s="1">
        <v>1</v>
      </c>
      <c r="G61" s="11">
        <f t="shared" si="13"/>
        <v>13200</v>
      </c>
      <c r="H61" s="32"/>
      <c r="I61" s="18"/>
      <c r="J61" s="95">
        <v>45700</v>
      </c>
      <c r="K61" s="90"/>
      <c r="L61" s="12">
        <v>45701</v>
      </c>
      <c r="M61" s="12">
        <v>45728</v>
      </c>
      <c r="N61" s="1" t="s">
        <v>45</v>
      </c>
      <c r="O61" s="1"/>
      <c r="P61" s="1" t="s">
        <v>35</v>
      </c>
      <c r="Q61" s="10">
        <v>12000</v>
      </c>
      <c r="R61" s="13">
        <f t="shared" si="14"/>
        <v>12000</v>
      </c>
      <c r="S61" s="1">
        <f t="shared" si="15"/>
        <v>1200</v>
      </c>
      <c r="T61" s="1">
        <v>0</v>
      </c>
      <c r="U61" s="1">
        <f t="shared" si="16"/>
        <v>0</v>
      </c>
      <c r="V61" s="10" t="s">
        <v>36</v>
      </c>
      <c r="W61" s="1" t="s">
        <v>275</v>
      </c>
      <c r="X61" s="14">
        <f t="shared" si="17"/>
        <v>13200</v>
      </c>
      <c r="Y61" s="14">
        <f t="shared" si="18"/>
        <v>12000</v>
      </c>
      <c r="Z61" s="2">
        <f t="shared" si="19"/>
        <v>0.90909090909090906</v>
      </c>
      <c r="AA61" s="19">
        <v>0</v>
      </c>
      <c r="AB61" s="1">
        <f t="shared" si="20"/>
        <v>-11999.999999999998</v>
      </c>
      <c r="AC61" s="22">
        <f t="shared" si="21"/>
        <v>1</v>
      </c>
      <c r="AD61" s="23">
        <f t="shared" si="22"/>
        <v>1200.0000000000018</v>
      </c>
    </row>
    <row r="62" spans="1:30" ht="21" customHeight="1">
      <c r="A62" s="26">
        <f t="shared" si="12"/>
        <v>62</v>
      </c>
      <c r="B62" s="43">
        <v>2</v>
      </c>
      <c r="C62" s="44">
        <v>7</v>
      </c>
      <c r="D62" s="1" t="s">
        <v>70</v>
      </c>
      <c r="E62" s="9" t="s">
        <v>311</v>
      </c>
      <c r="F62" s="1">
        <v>1</v>
      </c>
      <c r="G62" s="11">
        <f t="shared" si="13"/>
        <v>8800</v>
      </c>
      <c r="H62" s="32"/>
      <c r="I62" s="18"/>
      <c r="J62" s="95">
        <v>45700</v>
      </c>
      <c r="K62" s="90"/>
      <c r="L62" s="12">
        <v>45701</v>
      </c>
      <c r="M62" s="12">
        <v>45728</v>
      </c>
      <c r="N62" s="1" t="s">
        <v>54</v>
      </c>
      <c r="O62" s="1"/>
      <c r="P62" s="1" t="s">
        <v>49</v>
      </c>
      <c r="Q62" s="10">
        <v>8000</v>
      </c>
      <c r="R62" s="13">
        <f t="shared" si="14"/>
        <v>8000</v>
      </c>
      <c r="S62" s="1">
        <f t="shared" si="15"/>
        <v>800</v>
      </c>
      <c r="T62" s="1">
        <v>0</v>
      </c>
      <c r="U62" s="1">
        <f t="shared" si="16"/>
        <v>0</v>
      </c>
      <c r="V62" s="10" t="s">
        <v>50</v>
      </c>
      <c r="W62" s="1" t="s">
        <v>275</v>
      </c>
      <c r="X62" s="14">
        <f t="shared" si="17"/>
        <v>8800</v>
      </c>
      <c r="Y62" s="14">
        <f t="shared" si="18"/>
        <v>8000</v>
      </c>
      <c r="Z62" s="2">
        <f t="shared" si="19"/>
        <v>0.90909090909090906</v>
      </c>
      <c r="AA62" s="19">
        <v>0</v>
      </c>
      <c r="AB62" s="1">
        <f t="shared" si="20"/>
        <v>-7999.9999999999991</v>
      </c>
      <c r="AC62" s="22">
        <f t="shared" si="21"/>
        <v>1</v>
      </c>
      <c r="AD62" s="23">
        <f t="shared" si="22"/>
        <v>800.00000000000091</v>
      </c>
    </row>
    <row r="63" spans="1:30" ht="21" customHeight="1">
      <c r="A63" s="26">
        <f t="shared" si="12"/>
        <v>63</v>
      </c>
      <c r="B63" s="43">
        <v>2</v>
      </c>
      <c r="C63" s="44">
        <v>10</v>
      </c>
      <c r="D63" s="27" t="s">
        <v>37</v>
      </c>
      <c r="E63" s="9" t="s">
        <v>43</v>
      </c>
      <c r="F63" s="10">
        <v>200</v>
      </c>
      <c r="G63" s="11">
        <f t="shared" si="13"/>
        <v>946000</v>
      </c>
      <c r="H63" s="32"/>
      <c r="I63" s="18"/>
      <c r="J63" s="95">
        <v>45716</v>
      </c>
      <c r="K63" s="90"/>
      <c r="L63" s="12">
        <v>45701</v>
      </c>
      <c r="M63" s="12">
        <v>45698</v>
      </c>
      <c r="N63" s="1" t="s">
        <v>43</v>
      </c>
      <c r="O63" s="1" t="s">
        <v>65</v>
      </c>
      <c r="P63" s="1" t="s">
        <v>44</v>
      </c>
      <c r="Q63" s="10">
        <v>4300</v>
      </c>
      <c r="R63" s="13">
        <f t="shared" si="14"/>
        <v>860000</v>
      </c>
      <c r="S63" s="1">
        <f t="shared" si="15"/>
        <v>86000</v>
      </c>
      <c r="T63" s="1">
        <v>0</v>
      </c>
      <c r="U63" s="1">
        <f t="shared" si="16"/>
        <v>0</v>
      </c>
      <c r="V63" s="10" t="s">
        <v>46</v>
      </c>
      <c r="W63" s="1" t="s">
        <v>66</v>
      </c>
      <c r="X63" s="14">
        <f t="shared" si="17"/>
        <v>485700</v>
      </c>
      <c r="Y63" s="14">
        <f t="shared" si="18"/>
        <v>399700</v>
      </c>
      <c r="Z63" s="2">
        <f t="shared" si="19"/>
        <v>0.42251585623678645</v>
      </c>
      <c r="AA63" s="19">
        <v>460300</v>
      </c>
      <c r="AB63" s="1">
        <f t="shared" si="20"/>
        <v>-441545.45454545447</v>
      </c>
      <c r="AC63" s="22">
        <f t="shared" si="21"/>
        <v>0.51342494714587739</v>
      </c>
      <c r="AD63" s="23">
        <f t="shared" si="22"/>
        <v>44154.545454545529</v>
      </c>
    </row>
    <row r="64" spans="1:30" ht="21" customHeight="1">
      <c r="A64" s="26">
        <f t="shared" si="12"/>
        <v>64</v>
      </c>
      <c r="B64" s="43">
        <v>2</v>
      </c>
      <c r="C64" s="44">
        <v>10</v>
      </c>
      <c r="D64" s="10" t="s">
        <v>162</v>
      </c>
      <c r="E64" s="9" t="s">
        <v>312</v>
      </c>
      <c r="F64" s="10">
        <v>4</v>
      </c>
      <c r="G64" s="11">
        <f t="shared" si="13"/>
        <v>44000</v>
      </c>
      <c r="H64" s="32"/>
      <c r="I64" s="18"/>
      <c r="J64" s="95">
        <v>45698</v>
      </c>
      <c r="K64" s="90"/>
      <c r="L64" s="12">
        <v>45701</v>
      </c>
      <c r="M64" s="12">
        <v>45698</v>
      </c>
      <c r="N64" s="1" t="s">
        <v>166</v>
      </c>
      <c r="O64" s="1" t="s">
        <v>313</v>
      </c>
      <c r="P64" s="1" t="s">
        <v>35</v>
      </c>
      <c r="Q64" s="10">
        <v>10000</v>
      </c>
      <c r="R64" s="13">
        <f t="shared" si="14"/>
        <v>40000</v>
      </c>
      <c r="S64" s="1">
        <f t="shared" si="15"/>
        <v>4000</v>
      </c>
      <c r="T64" s="1">
        <v>0</v>
      </c>
      <c r="U64" s="1">
        <f t="shared" si="16"/>
        <v>0</v>
      </c>
      <c r="V64" s="10" t="s">
        <v>46</v>
      </c>
      <c r="W64" s="1" t="s">
        <v>237</v>
      </c>
      <c r="X64" s="14">
        <f t="shared" si="17"/>
        <v>25220</v>
      </c>
      <c r="Y64" s="14">
        <f t="shared" si="18"/>
        <v>21220</v>
      </c>
      <c r="Z64" s="2">
        <f t="shared" si="19"/>
        <v>0.4822727272727273</v>
      </c>
      <c r="AA64" s="19">
        <v>18780</v>
      </c>
      <c r="AB64" s="1">
        <f t="shared" si="20"/>
        <v>-22927.272727272728</v>
      </c>
      <c r="AC64" s="22">
        <f t="shared" si="21"/>
        <v>0.57318181818181824</v>
      </c>
      <c r="AD64" s="23">
        <f t="shared" si="22"/>
        <v>2292.7272727272721</v>
      </c>
    </row>
    <row r="65" spans="1:30" ht="21" customHeight="1">
      <c r="A65" s="26">
        <f t="shared" si="12"/>
        <v>65</v>
      </c>
      <c r="B65" s="43">
        <v>2</v>
      </c>
      <c r="C65" s="44">
        <v>10</v>
      </c>
      <c r="D65" s="10" t="s">
        <v>238</v>
      </c>
      <c r="E65" s="9" t="s">
        <v>314</v>
      </c>
      <c r="F65" s="10">
        <v>4</v>
      </c>
      <c r="G65" s="11">
        <f t="shared" si="13"/>
        <v>748000</v>
      </c>
      <c r="H65" s="32"/>
      <c r="I65" s="18"/>
      <c r="J65" s="95">
        <v>45716</v>
      </c>
      <c r="K65" s="90"/>
      <c r="L65" s="12">
        <v>45701</v>
      </c>
      <c r="M65" s="12">
        <v>45698</v>
      </c>
      <c r="N65" s="1" t="s">
        <v>65</v>
      </c>
      <c r="O65" s="1" t="s">
        <v>315</v>
      </c>
      <c r="P65" s="1" t="s">
        <v>100</v>
      </c>
      <c r="Q65" s="10">
        <v>170000</v>
      </c>
      <c r="R65" s="13">
        <f t="shared" si="14"/>
        <v>680000</v>
      </c>
      <c r="S65" s="1">
        <f t="shared" si="15"/>
        <v>68000</v>
      </c>
      <c r="T65" s="1">
        <v>0</v>
      </c>
      <c r="U65" s="1">
        <f t="shared" si="16"/>
        <v>0</v>
      </c>
      <c r="V65" s="10" t="s">
        <v>41</v>
      </c>
      <c r="W65" s="1" t="s">
        <v>238</v>
      </c>
      <c r="X65" s="14">
        <f t="shared" si="17"/>
        <v>378500</v>
      </c>
      <c r="Y65" s="14">
        <f t="shared" si="18"/>
        <v>310500</v>
      </c>
      <c r="Z65" s="2">
        <f t="shared" si="19"/>
        <v>0.41510695187165775</v>
      </c>
      <c r="AA65" s="19">
        <v>369500</v>
      </c>
      <c r="AB65" s="1">
        <f t="shared" si="20"/>
        <v>-344090.90909090912</v>
      </c>
      <c r="AC65" s="22">
        <f t="shared" si="21"/>
        <v>0.50601604278074874</v>
      </c>
      <c r="AD65" s="23">
        <f t="shared" si="22"/>
        <v>34409.090909090883</v>
      </c>
    </row>
    <row r="66" spans="1:30" ht="21" customHeight="1">
      <c r="A66" s="26">
        <f t="shared" si="12"/>
        <v>66</v>
      </c>
      <c r="B66" s="43">
        <v>2</v>
      </c>
      <c r="C66" s="44">
        <v>10</v>
      </c>
      <c r="D66" s="10" t="s">
        <v>37</v>
      </c>
      <c r="E66" s="9" t="s">
        <v>316</v>
      </c>
      <c r="F66" s="10">
        <v>1</v>
      </c>
      <c r="G66" s="11">
        <f t="shared" si="13"/>
        <v>16500</v>
      </c>
      <c r="H66" s="32"/>
      <c r="I66" s="18"/>
      <c r="J66" s="95">
        <v>45699</v>
      </c>
      <c r="K66" s="90"/>
      <c r="L66" s="12">
        <v>45701</v>
      </c>
      <c r="M66" s="12">
        <v>45698</v>
      </c>
      <c r="N66" s="1" t="s">
        <v>38</v>
      </c>
      <c r="O66" s="1" t="s">
        <v>39</v>
      </c>
      <c r="P66" s="1" t="s">
        <v>190</v>
      </c>
      <c r="Q66" s="10">
        <v>15000</v>
      </c>
      <c r="R66" s="13">
        <f t="shared" si="14"/>
        <v>15000</v>
      </c>
      <c r="S66" s="1">
        <f t="shared" si="15"/>
        <v>1500</v>
      </c>
      <c r="T66" s="1">
        <v>0</v>
      </c>
      <c r="U66" s="1">
        <f t="shared" si="16"/>
        <v>0</v>
      </c>
      <c r="V66" s="10" t="s">
        <v>41</v>
      </c>
      <c r="W66" s="1" t="s">
        <v>189</v>
      </c>
      <c r="X66" s="14">
        <f t="shared" si="17"/>
        <v>16500</v>
      </c>
      <c r="Y66" s="14">
        <f t="shared" si="18"/>
        <v>15000</v>
      </c>
      <c r="Z66" s="2">
        <f t="shared" si="19"/>
        <v>0.90909090909090906</v>
      </c>
      <c r="AA66" s="19">
        <v>0</v>
      </c>
      <c r="AB66" s="1">
        <f t="shared" si="20"/>
        <v>-14999.999999999998</v>
      </c>
      <c r="AC66" s="22">
        <f t="shared" si="21"/>
        <v>1</v>
      </c>
      <c r="AD66" s="23">
        <f t="shared" si="22"/>
        <v>1500.0000000000018</v>
      </c>
    </row>
    <row r="67" spans="1:30" ht="21" customHeight="1">
      <c r="A67" s="26">
        <f t="shared" si="12"/>
        <v>67</v>
      </c>
      <c r="B67" s="43">
        <v>2</v>
      </c>
      <c r="C67" s="44">
        <v>10</v>
      </c>
      <c r="D67" s="10" t="s">
        <v>37</v>
      </c>
      <c r="E67" s="9" t="s">
        <v>317</v>
      </c>
      <c r="F67" s="10">
        <v>1</v>
      </c>
      <c r="G67" s="11">
        <f t="shared" si="13"/>
        <v>16500</v>
      </c>
      <c r="H67" s="32"/>
      <c r="I67" s="18"/>
      <c r="J67" s="95">
        <v>45699</v>
      </c>
      <c r="K67" s="90"/>
      <c r="L67" s="12">
        <v>45701</v>
      </c>
      <c r="M67" s="12">
        <v>45698</v>
      </c>
      <c r="N67" s="1" t="s">
        <v>38</v>
      </c>
      <c r="O67" s="1" t="s">
        <v>39</v>
      </c>
      <c r="P67" s="1" t="s">
        <v>190</v>
      </c>
      <c r="Q67" s="10">
        <v>15000</v>
      </c>
      <c r="R67" s="13">
        <f t="shared" si="14"/>
        <v>15000</v>
      </c>
      <c r="S67" s="1">
        <f t="shared" si="15"/>
        <v>1500</v>
      </c>
      <c r="T67" s="1">
        <v>0</v>
      </c>
      <c r="U67" s="1">
        <f t="shared" si="16"/>
        <v>0</v>
      </c>
      <c r="V67" s="10" t="s">
        <v>41</v>
      </c>
      <c r="W67" s="1" t="s">
        <v>189</v>
      </c>
      <c r="X67" s="14">
        <f t="shared" si="17"/>
        <v>16500</v>
      </c>
      <c r="Y67" s="14">
        <f t="shared" si="18"/>
        <v>15000</v>
      </c>
      <c r="Z67" s="2">
        <f t="shared" si="19"/>
        <v>0.90909090909090906</v>
      </c>
      <c r="AA67" s="19">
        <v>0</v>
      </c>
      <c r="AB67" s="1">
        <f t="shared" si="20"/>
        <v>-14999.999999999998</v>
      </c>
      <c r="AC67" s="22">
        <f t="shared" si="21"/>
        <v>1</v>
      </c>
      <c r="AD67" s="23">
        <f t="shared" si="22"/>
        <v>1500.0000000000018</v>
      </c>
    </row>
    <row r="68" spans="1:30" ht="21" customHeight="1">
      <c r="A68" s="26">
        <f t="shared" si="12"/>
        <v>68</v>
      </c>
      <c r="B68" s="43">
        <v>2</v>
      </c>
      <c r="C68" s="44">
        <v>10</v>
      </c>
      <c r="D68" s="10" t="s">
        <v>37</v>
      </c>
      <c r="E68" s="9" t="s">
        <v>318</v>
      </c>
      <c r="F68" s="10">
        <v>1</v>
      </c>
      <c r="G68" s="11">
        <f t="shared" si="13"/>
        <v>16500</v>
      </c>
      <c r="H68" s="32"/>
      <c r="I68" s="18"/>
      <c r="J68" s="95">
        <v>45699</v>
      </c>
      <c r="K68" s="90"/>
      <c r="L68" s="12">
        <v>45701</v>
      </c>
      <c r="M68" s="12">
        <v>45698</v>
      </c>
      <c r="N68" s="1" t="s">
        <v>38</v>
      </c>
      <c r="O68" s="1" t="s">
        <v>39</v>
      </c>
      <c r="P68" s="1" t="s">
        <v>190</v>
      </c>
      <c r="Q68" s="10">
        <v>15000</v>
      </c>
      <c r="R68" s="13">
        <f t="shared" si="14"/>
        <v>15000</v>
      </c>
      <c r="S68" s="1">
        <f t="shared" si="15"/>
        <v>1500</v>
      </c>
      <c r="T68" s="1">
        <v>0</v>
      </c>
      <c r="U68" s="1">
        <f t="shared" si="16"/>
        <v>0</v>
      </c>
      <c r="V68" s="10" t="s">
        <v>41</v>
      </c>
      <c r="W68" s="1" t="s">
        <v>189</v>
      </c>
      <c r="X68" s="14">
        <f t="shared" si="17"/>
        <v>16500</v>
      </c>
      <c r="Y68" s="14">
        <f t="shared" si="18"/>
        <v>15000</v>
      </c>
      <c r="Z68" s="2">
        <f t="shared" si="19"/>
        <v>0.90909090909090906</v>
      </c>
      <c r="AA68" s="19">
        <v>0</v>
      </c>
      <c r="AB68" s="1">
        <f t="shared" si="20"/>
        <v>-14999.999999999998</v>
      </c>
      <c r="AC68" s="22">
        <f t="shared" si="21"/>
        <v>1</v>
      </c>
      <c r="AD68" s="23">
        <f t="shared" si="22"/>
        <v>1500.0000000000018</v>
      </c>
    </row>
    <row r="69" spans="1:30" ht="21" customHeight="1">
      <c r="A69" s="26">
        <f t="shared" si="12"/>
        <v>69</v>
      </c>
      <c r="B69" s="43">
        <v>2</v>
      </c>
      <c r="C69" s="44">
        <v>10</v>
      </c>
      <c r="D69" s="10" t="s">
        <v>37</v>
      </c>
      <c r="E69" s="9" t="s">
        <v>319</v>
      </c>
      <c r="F69" s="10">
        <v>1</v>
      </c>
      <c r="G69" s="11">
        <f t="shared" si="13"/>
        <v>16500</v>
      </c>
      <c r="H69" s="32"/>
      <c r="I69" s="18"/>
      <c r="J69" s="95">
        <v>45699</v>
      </c>
      <c r="K69" s="90"/>
      <c r="L69" s="12">
        <v>45701</v>
      </c>
      <c r="M69" s="12">
        <v>45698</v>
      </c>
      <c r="N69" s="1" t="s">
        <v>38</v>
      </c>
      <c r="O69" s="1" t="s">
        <v>39</v>
      </c>
      <c r="P69" s="1" t="s">
        <v>193</v>
      </c>
      <c r="Q69" s="10">
        <v>15000</v>
      </c>
      <c r="R69" s="13">
        <f t="shared" si="14"/>
        <v>15000</v>
      </c>
      <c r="S69" s="1">
        <f t="shared" si="15"/>
        <v>1500</v>
      </c>
      <c r="T69" s="1">
        <v>0</v>
      </c>
      <c r="U69" s="1">
        <f t="shared" si="16"/>
        <v>0</v>
      </c>
      <c r="V69" s="10" t="s">
        <v>41</v>
      </c>
      <c r="W69" s="1" t="s">
        <v>189</v>
      </c>
      <c r="X69" s="14">
        <f t="shared" si="17"/>
        <v>16500</v>
      </c>
      <c r="Y69" s="14">
        <f t="shared" si="18"/>
        <v>15000</v>
      </c>
      <c r="Z69" s="2">
        <f t="shared" si="19"/>
        <v>0.90909090909090906</v>
      </c>
      <c r="AA69" s="19">
        <v>0</v>
      </c>
      <c r="AB69" s="1">
        <f t="shared" si="20"/>
        <v>-14999.999999999998</v>
      </c>
      <c r="AC69" s="22">
        <f t="shared" si="21"/>
        <v>1</v>
      </c>
      <c r="AD69" s="23">
        <f t="shared" si="22"/>
        <v>1500.0000000000018</v>
      </c>
    </row>
    <row r="70" spans="1:30" ht="21" customHeight="1">
      <c r="A70" s="26">
        <f t="shared" si="12"/>
        <v>70</v>
      </c>
      <c r="B70" s="43">
        <v>2</v>
      </c>
      <c r="C70" s="44">
        <v>10</v>
      </c>
      <c r="D70" s="10" t="s">
        <v>37</v>
      </c>
      <c r="E70" s="9" t="s">
        <v>320</v>
      </c>
      <c r="F70" s="10">
        <v>1</v>
      </c>
      <c r="G70" s="11">
        <f t="shared" si="13"/>
        <v>16500</v>
      </c>
      <c r="H70" s="32"/>
      <c r="I70" s="18"/>
      <c r="J70" s="95">
        <v>45699</v>
      </c>
      <c r="K70" s="90"/>
      <c r="L70" s="12">
        <v>45701</v>
      </c>
      <c r="M70" s="12">
        <v>45698</v>
      </c>
      <c r="N70" s="1" t="s">
        <v>38</v>
      </c>
      <c r="O70" s="1" t="s">
        <v>39</v>
      </c>
      <c r="P70" s="1" t="s">
        <v>83</v>
      </c>
      <c r="Q70" s="10">
        <v>15000</v>
      </c>
      <c r="R70" s="13">
        <f t="shared" si="14"/>
        <v>15000</v>
      </c>
      <c r="S70" s="1">
        <f t="shared" si="15"/>
        <v>1500</v>
      </c>
      <c r="T70" s="1">
        <v>0</v>
      </c>
      <c r="U70" s="1">
        <f t="shared" si="16"/>
        <v>0</v>
      </c>
      <c r="V70" s="10" t="s">
        <v>41</v>
      </c>
      <c r="W70" s="1" t="s">
        <v>189</v>
      </c>
      <c r="X70" s="14">
        <f t="shared" si="17"/>
        <v>16500</v>
      </c>
      <c r="Y70" s="14">
        <f t="shared" si="18"/>
        <v>15000</v>
      </c>
      <c r="Z70" s="2">
        <f t="shared" si="19"/>
        <v>0.90909090909090906</v>
      </c>
      <c r="AA70" s="19">
        <v>0</v>
      </c>
      <c r="AB70" s="1">
        <f t="shared" si="20"/>
        <v>-14999.999999999998</v>
      </c>
      <c r="AC70" s="22">
        <f t="shared" si="21"/>
        <v>1</v>
      </c>
      <c r="AD70" s="23">
        <f t="shared" si="22"/>
        <v>1500.0000000000018</v>
      </c>
    </row>
    <row r="71" spans="1:30" ht="21" customHeight="1">
      <c r="A71" s="26">
        <f t="shared" si="12"/>
        <v>71</v>
      </c>
      <c r="B71" s="43">
        <v>2</v>
      </c>
      <c r="C71" s="44">
        <v>10</v>
      </c>
      <c r="D71" s="10" t="s">
        <v>37</v>
      </c>
      <c r="E71" s="9" t="s">
        <v>321</v>
      </c>
      <c r="F71" s="10">
        <v>1</v>
      </c>
      <c r="G71" s="11">
        <f t="shared" si="13"/>
        <v>38500</v>
      </c>
      <c r="H71" s="32"/>
      <c r="I71" s="18"/>
      <c r="J71" s="95">
        <v>45699</v>
      </c>
      <c r="K71" s="90"/>
      <c r="L71" s="12">
        <v>45701</v>
      </c>
      <c r="M71" s="12">
        <v>45698</v>
      </c>
      <c r="N71" s="1" t="s">
        <v>38</v>
      </c>
      <c r="O71" s="1" t="s">
        <v>39</v>
      </c>
      <c r="P71" s="1" t="s">
        <v>188</v>
      </c>
      <c r="Q71" s="10">
        <v>15000</v>
      </c>
      <c r="R71" s="13">
        <f t="shared" si="14"/>
        <v>15000</v>
      </c>
      <c r="S71" s="1">
        <f t="shared" si="15"/>
        <v>1500</v>
      </c>
      <c r="T71" s="1">
        <v>20000</v>
      </c>
      <c r="U71" s="1">
        <f t="shared" si="16"/>
        <v>2000</v>
      </c>
      <c r="V71" s="10" t="s">
        <v>41</v>
      </c>
      <c r="W71" s="1" t="s">
        <v>189</v>
      </c>
      <c r="X71" s="14">
        <f t="shared" si="17"/>
        <v>-31550</v>
      </c>
      <c r="Y71" s="14">
        <f t="shared" si="18"/>
        <v>-33050</v>
      </c>
      <c r="Z71" s="2">
        <f t="shared" si="19"/>
        <v>-0.85844155844155845</v>
      </c>
      <c r="AA71" s="19">
        <v>70050</v>
      </c>
      <c r="AB71" s="1">
        <f t="shared" si="20"/>
        <v>28681.818181818177</v>
      </c>
      <c r="AC71" s="22">
        <f t="shared" si="21"/>
        <v>-0.81948051948051936</v>
      </c>
      <c r="AD71" s="23">
        <f t="shared" si="22"/>
        <v>-2868.1818181818235</v>
      </c>
    </row>
    <row r="72" spans="1:30" ht="21" customHeight="1">
      <c r="A72" s="26">
        <f t="shared" si="12"/>
        <v>72</v>
      </c>
      <c r="B72" s="43">
        <v>2</v>
      </c>
      <c r="C72" s="44">
        <v>11</v>
      </c>
      <c r="D72" s="10" t="s">
        <v>37</v>
      </c>
      <c r="E72" s="9" t="s">
        <v>322</v>
      </c>
      <c r="F72" s="10">
        <v>1</v>
      </c>
      <c r="G72" s="11">
        <f t="shared" si="13"/>
        <v>16500</v>
      </c>
      <c r="H72" s="32"/>
      <c r="I72" s="18"/>
      <c r="J72" s="95">
        <v>45707</v>
      </c>
      <c r="K72" s="90"/>
      <c r="L72" s="12">
        <v>45701</v>
      </c>
      <c r="M72" s="12">
        <v>45699</v>
      </c>
      <c r="N72" s="1" t="s">
        <v>38</v>
      </c>
      <c r="O72" s="1" t="s">
        <v>39</v>
      </c>
      <c r="P72" s="1" t="s">
        <v>83</v>
      </c>
      <c r="Q72" s="10">
        <v>15000</v>
      </c>
      <c r="R72" s="13">
        <f t="shared" si="14"/>
        <v>15000</v>
      </c>
      <c r="S72" s="1">
        <f t="shared" si="15"/>
        <v>1500</v>
      </c>
      <c r="T72" s="1">
        <v>0</v>
      </c>
      <c r="U72" s="1">
        <f t="shared" si="16"/>
        <v>0</v>
      </c>
      <c r="V72" s="10" t="s">
        <v>41</v>
      </c>
      <c r="W72" s="1" t="s">
        <v>104</v>
      </c>
      <c r="X72" s="14">
        <f t="shared" si="17"/>
        <v>16500</v>
      </c>
      <c r="Y72" s="14">
        <f t="shared" si="18"/>
        <v>15000</v>
      </c>
      <c r="Z72" s="2">
        <f t="shared" si="19"/>
        <v>0.90909090909090906</v>
      </c>
      <c r="AA72" s="19">
        <v>0</v>
      </c>
      <c r="AB72" s="1">
        <f t="shared" si="20"/>
        <v>-14999.999999999998</v>
      </c>
      <c r="AC72" s="22">
        <f t="shared" si="21"/>
        <v>1</v>
      </c>
      <c r="AD72" s="23">
        <f t="shared" si="22"/>
        <v>1500.0000000000018</v>
      </c>
    </row>
    <row r="73" spans="1:30" ht="21" customHeight="1">
      <c r="A73" s="26">
        <f t="shared" si="12"/>
        <v>73</v>
      </c>
      <c r="B73" s="43">
        <v>2</v>
      </c>
      <c r="C73" s="44">
        <v>11</v>
      </c>
      <c r="D73" s="10" t="s">
        <v>37</v>
      </c>
      <c r="E73" s="9" t="s">
        <v>322</v>
      </c>
      <c r="F73" s="10">
        <v>1</v>
      </c>
      <c r="G73" s="11">
        <f t="shared" si="13"/>
        <v>13200</v>
      </c>
      <c r="H73" s="32"/>
      <c r="I73" s="18"/>
      <c r="J73" s="95">
        <v>45707</v>
      </c>
      <c r="K73" s="90"/>
      <c r="L73" s="12">
        <v>45701</v>
      </c>
      <c r="M73" s="12">
        <v>45699</v>
      </c>
      <c r="N73" s="1" t="s">
        <v>323</v>
      </c>
      <c r="O73" s="1" t="s">
        <v>158</v>
      </c>
      <c r="P73" s="1" t="s">
        <v>72</v>
      </c>
      <c r="Q73" s="10">
        <v>12000</v>
      </c>
      <c r="R73" s="13">
        <f t="shared" si="14"/>
        <v>12000</v>
      </c>
      <c r="S73" s="1">
        <f t="shared" si="15"/>
        <v>1200</v>
      </c>
      <c r="T73" s="1">
        <v>0</v>
      </c>
      <c r="U73" s="1">
        <f t="shared" si="16"/>
        <v>0</v>
      </c>
      <c r="V73" s="10" t="s">
        <v>41</v>
      </c>
      <c r="W73" s="1" t="s">
        <v>104</v>
      </c>
      <c r="X73" s="14">
        <f t="shared" si="17"/>
        <v>-3190</v>
      </c>
      <c r="Y73" s="14">
        <f t="shared" si="18"/>
        <v>-4390</v>
      </c>
      <c r="Z73" s="2">
        <f t="shared" si="19"/>
        <v>-0.33257575757575758</v>
      </c>
      <c r="AA73" s="19">
        <v>16390</v>
      </c>
      <c r="AB73" s="1">
        <f t="shared" si="20"/>
        <v>2900</v>
      </c>
      <c r="AC73" s="22">
        <f t="shared" si="21"/>
        <v>-0.2416666666666667</v>
      </c>
      <c r="AD73" s="23">
        <f t="shared" si="22"/>
        <v>-290</v>
      </c>
    </row>
    <row r="74" spans="1:30" ht="21" customHeight="1">
      <c r="A74" s="26">
        <f t="shared" si="12"/>
        <v>74</v>
      </c>
      <c r="B74" s="43">
        <v>2</v>
      </c>
      <c r="C74" s="44">
        <v>11</v>
      </c>
      <c r="D74" s="10" t="s">
        <v>37</v>
      </c>
      <c r="E74" s="9" t="s">
        <v>324</v>
      </c>
      <c r="F74" s="10">
        <v>1</v>
      </c>
      <c r="G74" s="11">
        <f t="shared" si="13"/>
        <v>35200</v>
      </c>
      <c r="H74" s="32"/>
      <c r="I74" s="18"/>
      <c r="J74" s="95">
        <v>45714</v>
      </c>
      <c r="K74" s="90"/>
      <c r="L74" s="12">
        <v>45701</v>
      </c>
      <c r="M74" s="12">
        <v>45708</v>
      </c>
      <c r="N74" s="1" t="s">
        <v>38</v>
      </c>
      <c r="O74" s="1" t="s">
        <v>39</v>
      </c>
      <c r="P74" s="1" t="s">
        <v>246</v>
      </c>
      <c r="Q74" s="10">
        <v>32000</v>
      </c>
      <c r="R74" s="13">
        <f t="shared" si="14"/>
        <v>32000</v>
      </c>
      <c r="S74" s="1">
        <f t="shared" si="15"/>
        <v>3200</v>
      </c>
      <c r="T74" s="1">
        <v>0</v>
      </c>
      <c r="U74" s="1">
        <f t="shared" si="16"/>
        <v>0</v>
      </c>
      <c r="V74" s="10" t="s">
        <v>41</v>
      </c>
      <c r="W74" s="1" t="s">
        <v>243</v>
      </c>
      <c r="X74" s="14">
        <f t="shared" si="17"/>
        <v>35200</v>
      </c>
      <c r="Y74" s="14">
        <f t="shared" si="18"/>
        <v>32000</v>
      </c>
      <c r="Z74" s="2">
        <f t="shared" si="19"/>
        <v>0.90909090909090906</v>
      </c>
      <c r="AA74" s="19">
        <v>0</v>
      </c>
      <c r="AB74" s="1">
        <f t="shared" si="20"/>
        <v>-31999.999999999996</v>
      </c>
      <c r="AC74" s="22">
        <f t="shared" si="21"/>
        <v>1</v>
      </c>
      <c r="AD74" s="23">
        <f t="shared" si="22"/>
        <v>3200.0000000000036</v>
      </c>
    </row>
    <row r="75" spans="1:30" ht="21" customHeight="1">
      <c r="A75" s="26">
        <f t="shared" si="12"/>
        <v>75</v>
      </c>
      <c r="B75" s="43">
        <v>2</v>
      </c>
      <c r="C75" s="44">
        <v>12</v>
      </c>
      <c r="D75" s="10" t="s">
        <v>37</v>
      </c>
      <c r="E75" s="9" t="s">
        <v>325</v>
      </c>
      <c r="F75" s="10">
        <v>1</v>
      </c>
      <c r="G75" s="11">
        <f t="shared" si="13"/>
        <v>45100</v>
      </c>
      <c r="H75" s="32"/>
      <c r="I75" s="18"/>
      <c r="J75" s="95">
        <v>45714</v>
      </c>
      <c r="K75" s="90"/>
      <c r="L75" s="12">
        <v>45701</v>
      </c>
      <c r="M75" s="12">
        <v>45708</v>
      </c>
      <c r="N75" s="1" t="s">
        <v>38</v>
      </c>
      <c r="O75" s="1" t="s">
        <v>39</v>
      </c>
      <c r="P75" s="1" t="s">
        <v>241</v>
      </c>
      <c r="Q75" s="10">
        <v>21000</v>
      </c>
      <c r="R75" s="13">
        <f t="shared" si="14"/>
        <v>21000</v>
      </c>
      <c r="S75" s="1">
        <f t="shared" si="15"/>
        <v>2100</v>
      </c>
      <c r="T75" s="1">
        <v>20000</v>
      </c>
      <c r="U75" s="1">
        <f t="shared" si="16"/>
        <v>2000</v>
      </c>
      <c r="V75" s="10" t="s">
        <v>41</v>
      </c>
      <c r="W75" s="1" t="s">
        <v>243</v>
      </c>
      <c r="X75" s="14">
        <f t="shared" si="17"/>
        <v>36300</v>
      </c>
      <c r="Y75" s="14">
        <f t="shared" si="18"/>
        <v>34200</v>
      </c>
      <c r="Z75" s="2">
        <f t="shared" si="19"/>
        <v>0.75831485587583147</v>
      </c>
      <c r="AA75" s="19">
        <v>8800</v>
      </c>
      <c r="AB75" s="1">
        <f t="shared" si="20"/>
        <v>-33000</v>
      </c>
      <c r="AC75" s="22">
        <f t="shared" si="21"/>
        <v>0.80487804878048785</v>
      </c>
      <c r="AD75" s="23">
        <f t="shared" si="22"/>
        <v>3299.9999999999991</v>
      </c>
    </row>
    <row r="76" spans="1:30" ht="21" customHeight="1">
      <c r="A76" s="26">
        <f t="shared" si="12"/>
        <v>76</v>
      </c>
      <c r="B76" s="43">
        <v>2</v>
      </c>
      <c r="C76" s="44">
        <v>12</v>
      </c>
      <c r="D76" s="10" t="s">
        <v>85</v>
      </c>
      <c r="E76" s="9" t="s">
        <v>326</v>
      </c>
      <c r="F76" s="10">
        <v>1</v>
      </c>
      <c r="G76" s="11">
        <f t="shared" si="13"/>
        <v>20900</v>
      </c>
      <c r="H76" s="32"/>
      <c r="I76" s="18"/>
      <c r="J76" s="95">
        <v>45702</v>
      </c>
      <c r="K76" s="90"/>
      <c r="L76" s="12">
        <v>45701</v>
      </c>
      <c r="M76" s="12">
        <v>45700</v>
      </c>
      <c r="N76" s="1" t="s">
        <v>38</v>
      </c>
      <c r="O76" s="1" t="s">
        <v>39</v>
      </c>
      <c r="P76" s="1" t="s">
        <v>247</v>
      </c>
      <c r="Q76" s="10">
        <v>19000</v>
      </c>
      <c r="R76" s="13">
        <f t="shared" si="14"/>
        <v>19000</v>
      </c>
      <c r="S76" s="1">
        <f t="shared" si="15"/>
        <v>1900</v>
      </c>
      <c r="T76" s="1">
        <v>0</v>
      </c>
      <c r="U76" s="1">
        <f t="shared" si="16"/>
        <v>0</v>
      </c>
      <c r="V76" s="10" t="s">
        <v>41</v>
      </c>
      <c r="W76" s="1" t="s">
        <v>85</v>
      </c>
      <c r="X76" s="14">
        <f t="shared" si="17"/>
        <v>13750</v>
      </c>
      <c r="Y76" s="14">
        <f t="shared" si="18"/>
        <v>11850</v>
      </c>
      <c r="Z76" s="2">
        <f t="shared" si="19"/>
        <v>0.56698564593301437</v>
      </c>
      <c r="AA76" s="19">
        <v>7150</v>
      </c>
      <c r="AB76" s="1">
        <f t="shared" si="20"/>
        <v>-12500</v>
      </c>
      <c r="AC76" s="22">
        <f t="shared" si="21"/>
        <v>0.65789473684210531</v>
      </c>
      <c r="AD76" s="23">
        <f t="shared" si="22"/>
        <v>1249.9999999999991</v>
      </c>
    </row>
    <row r="77" spans="1:30" ht="21" customHeight="1">
      <c r="A77" s="26">
        <f t="shared" si="12"/>
        <v>77</v>
      </c>
      <c r="B77" s="43">
        <v>2</v>
      </c>
      <c r="C77" s="44">
        <v>13</v>
      </c>
      <c r="D77" s="10" t="s">
        <v>327</v>
      </c>
      <c r="E77" s="9" t="s">
        <v>328</v>
      </c>
      <c r="F77" s="10">
        <v>4</v>
      </c>
      <c r="G77" s="11">
        <f t="shared" si="13"/>
        <v>52800</v>
      </c>
      <c r="H77" s="32"/>
      <c r="I77" s="18"/>
      <c r="J77" s="95">
        <v>45700</v>
      </c>
      <c r="K77" s="90"/>
      <c r="L77" s="25" t="s">
        <v>57</v>
      </c>
      <c r="M77" s="25" t="s">
        <v>57</v>
      </c>
      <c r="N77" s="1" t="s">
        <v>45</v>
      </c>
      <c r="O77" s="1" t="s">
        <v>166</v>
      </c>
      <c r="P77" s="1" t="s">
        <v>35</v>
      </c>
      <c r="Q77" s="10">
        <v>12000</v>
      </c>
      <c r="R77" s="13">
        <f t="shared" si="14"/>
        <v>48000</v>
      </c>
      <c r="S77" s="1">
        <f t="shared" si="15"/>
        <v>4800</v>
      </c>
      <c r="T77" s="1">
        <v>0</v>
      </c>
      <c r="U77" s="1">
        <f t="shared" si="16"/>
        <v>0</v>
      </c>
      <c r="V77" s="10" t="s">
        <v>41</v>
      </c>
      <c r="W77" s="1" t="s">
        <v>287</v>
      </c>
      <c r="X77" s="14">
        <f t="shared" si="17"/>
        <v>31820</v>
      </c>
      <c r="Y77" s="14">
        <f t="shared" si="18"/>
        <v>27020</v>
      </c>
      <c r="Z77" s="2">
        <f t="shared" si="19"/>
        <v>0.51174242424242422</v>
      </c>
      <c r="AA77" s="19">
        <v>20980</v>
      </c>
      <c r="AB77" s="1">
        <f t="shared" si="20"/>
        <v>-28927.272727272721</v>
      </c>
      <c r="AC77" s="22">
        <f t="shared" si="21"/>
        <v>0.60265151515151516</v>
      </c>
      <c r="AD77" s="23">
        <f t="shared" si="22"/>
        <v>2892.7272727272793</v>
      </c>
    </row>
    <row r="78" spans="1:30" ht="21" customHeight="1">
      <c r="A78" s="26">
        <f t="shared" si="12"/>
        <v>78</v>
      </c>
      <c r="B78" s="43">
        <v>2</v>
      </c>
      <c r="C78" s="44">
        <v>13</v>
      </c>
      <c r="D78" s="10" t="s">
        <v>47</v>
      </c>
      <c r="E78" s="9" t="s">
        <v>138</v>
      </c>
      <c r="F78" s="10">
        <v>1</v>
      </c>
      <c r="G78" s="11">
        <f t="shared" si="13"/>
        <v>13200</v>
      </c>
      <c r="H78" s="32"/>
      <c r="I78" s="18"/>
      <c r="J78" s="95">
        <v>45699</v>
      </c>
      <c r="K78" s="90"/>
      <c r="L78" s="12">
        <v>45695</v>
      </c>
      <c r="M78" s="12">
        <v>45695</v>
      </c>
      <c r="N78" s="1" t="s">
        <v>45</v>
      </c>
      <c r="O78" s="1" t="s">
        <v>166</v>
      </c>
      <c r="P78" s="1" t="s">
        <v>35</v>
      </c>
      <c r="Q78" s="10">
        <v>12000</v>
      </c>
      <c r="R78" s="13">
        <f t="shared" si="14"/>
        <v>12000</v>
      </c>
      <c r="S78" s="1">
        <f t="shared" si="15"/>
        <v>1200</v>
      </c>
      <c r="T78" s="1">
        <v>0</v>
      </c>
      <c r="U78" s="1">
        <f t="shared" si="16"/>
        <v>0</v>
      </c>
      <c r="V78" s="10" t="s">
        <v>41</v>
      </c>
      <c r="W78" s="1" t="s">
        <v>287</v>
      </c>
      <c r="X78" s="14">
        <f t="shared" si="17"/>
        <v>-7780</v>
      </c>
      <c r="Y78" s="14">
        <f t="shared" si="18"/>
        <v>-8980</v>
      </c>
      <c r="Z78" s="2">
        <f t="shared" si="19"/>
        <v>-0.6803030303030303</v>
      </c>
      <c r="AA78" s="19">
        <v>20980</v>
      </c>
      <c r="AB78" s="1">
        <f t="shared" si="20"/>
        <v>7072.7272727272739</v>
      </c>
      <c r="AC78" s="22">
        <f t="shared" si="21"/>
        <v>-0.58939393939393958</v>
      </c>
      <c r="AD78" s="23">
        <f t="shared" si="22"/>
        <v>-707.27272727272612</v>
      </c>
    </row>
    <row r="79" spans="1:30" ht="21" customHeight="1">
      <c r="A79" s="26">
        <f t="shared" si="12"/>
        <v>79</v>
      </c>
      <c r="B79" s="43">
        <v>2</v>
      </c>
      <c r="C79" s="44">
        <v>18</v>
      </c>
      <c r="D79" s="10" t="s">
        <v>225</v>
      </c>
      <c r="E79" s="9" t="s">
        <v>329</v>
      </c>
      <c r="F79" s="10">
        <v>1</v>
      </c>
      <c r="G79" s="11">
        <f t="shared" si="13"/>
        <v>59400</v>
      </c>
      <c r="H79" s="32"/>
      <c r="I79" s="18"/>
      <c r="J79" s="95">
        <v>45730</v>
      </c>
      <c r="K79" s="90"/>
      <c r="L79" s="12">
        <v>45728</v>
      </c>
      <c r="M79" s="25" t="s">
        <v>57</v>
      </c>
      <c r="N79" s="1" t="s">
        <v>38</v>
      </c>
      <c r="O79" s="1" t="s">
        <v>39</v>
      </c>
      <c r="P79" s="1" t="s">
        <v>165</v>
      </c>
      <c r="Q79" s="10">
        <v>54000</v>
      </c>
      <c r="R79" s="13">
        <f t="shared" si="14"/>
        <v>54000</v>
      </c>
      <c r="S79" s="1">
        <f t="shared" si="15"/>
        <v>5400</v>
      </c>
      <c r="T79" s="1">
        <v>0</v>
      </c>
      <c r="U79" s="1">
        <f t="shared" si="16"/>
        <v>0</v>
      </c>
      <c r="V79" s="10" t="s">
        <v>41</v>
      </c>
      <c r="W79" s="1" t="s">
        <v>186</v>
      </c>
      <c r="X79" s="14">
        <f t="shared" si="17"/>
        <v>59400</v>
      </c>
      <c r="Y79" s="14">
        <f t="shared" si="18"/>
        <v>54000</v>
      </c>
      <c r="Z79" s="2">
        <f t="shared" si="19"/>
        <v>0.90909090909090906</v>
      </c>
      <c r="AA79" s="19">
        <v>0</v>
      </c>
      <c r="AB79" s="1">
        <f t="shared" si="20"/>
        <v>-53999.999999999993</v>
      </c>
      <c r="AC79" s="22">
        <f t="shared" si="21"/>
        <v>1</v>
      </c>
      <c r="AD79" s="23">
        <f t="shared" si="22"/>
        <v>5400.0000000000073</v>
      </c>
    </row>
    <row r="80" spans="1:30" ht="21" customHeight="1">
      <c r="A80" s="26">
        <f t="shared" si="12"/>
        <v>80</v>
      </c>
      <c r="B80" s="43">
        <v>2</v>
      </c>
      <c r="C80" s="44">
        <v>18</v>
      </c>
      <c r="D80" s="10" t="s">
        <v>225</v>
      </c>
      <c r="E80" s="9" t="s">
        <v>329</v>
      </c>
      <c r="F80" s="10">
        <v>1</v>
      </c>
      <c r="G80" s="11">
        <f t="shared" si="13"/>
        <v>22000</v>
      </c>
      <c r="H80" s="32"/>
      <c r="I80" s="18"/>
      <c r="J80" s="95">
        <v>45730</v>
      </c>
      <c r="K80" s="90"/>
      <c r="L80" s="12">
        <v>45728</v>
      </c>
      <c r="M80" s="25" t="s">
        <v>57</v>
      </c>
      <c r="N80" s="1" t="s">
        <v>79</v>
      </c>
      <c r="O80" s="1" t="s">
        <v>143</v>
      </c>
      <c r="P80" s="1" t="s">
        <v>81</v>
      </c>
      <c r="Q80" s="10">
        <v>20000</v>
      </c>
      <c r="R80" s="13">
        <f t="shared" si="14"/>
        <v>20000</v>
      </c>
      <c r="S80" s="1">
        <f t="shared" si="15"/>
        <v>2000</v>
      </c>
      <c r="T80" s="1">
        <v>0</v>
      </c>
      <c r="U80" s="1">
        <f t="shared" si="16"/>
        <v>0</v>
      </c>
      <c r="V80" s="10" t="s">
        <v>41</v>
      </c>
      <c r="W80" s="1" t="s">
        <v>186</v>
      </c>
      <c r="X80" s="14">
        <f t="shared" si="17"/>
        <v>22000</v>
      </c>
      <c r="Y80" s="14">
        <f t="shared" si="18"/>
        <v>20000</v>
      </c>
      <c r="Z80" s="2">
        <f t="shared" si="19"/>
        <v>0.90909090909090906</v>
      </c>
      <c r="AA80" s="19">
        <v>0</v>
      </c>
      <c r="AB80" s="1">
        <f t="shared" si="20"/>
        <v>-20000</v>
      </c>
      <c r="AC80" s="22">
        <f t="shared" si="21"/>
        <v>1</v>
      </c>
      <c r="AD80" s="23">
        <f t="shared" si="22"/>
        <v>2000</v>
      </c>
    </row>
    <row r="81" spans="1:30" ht="21" customHeight="1">
      <c r="A81" s="26">
        <f t="shared" si="12"/>
        <v>81</v>
      </c>
      <c r="B81" s="43">
        <v>2</v>
      </c>
      <c r="C81" s="44">
        <v>18</v>
      </c>
      <c r="D81" s="10" t="s">
        <v>185</v>
      </c>
      <c r="E81" s="9" t="s">
        <v>330</v>
      </c>
      <c r="F81" s="10">
        <v>1</v>
      </c>
      <c r="G81" s="11">
        <f t="shared" si="13"/>
        <v>34100</v>
      </c>
      <c r="H81" s="32"/>
      <c r="I81" s="18"/>
      <c r="J81" s="95">
        <v>45747</v>
      </c>
      <c r="K81" s="90"/>
      <c r="L81" s="12">
        <v>45728</v>
      </c>
      <c r="M81" s="12">
        <v>45713</v>
      </c>
      <c r="N81" s="1" t="s">
        <v>38</v>
      </c>
      <c r="O81" s="1" t="s">
        <v>39</v>
      </c>
      <c r="P81" s="1" t="s">
        <v>40</v>
      </c>
      <c r="Q81" s="10">
        <v>31000</v>
      </c>
      <c r="R81" s="13">
        <f t="shared" si="14"/>
        <v>31000</v>
      </c>
      <c r="S81" s="1">
        <f t="shared" si="15"/>
        <v>3100</v>
      </c>
      <c r="T81" s="1">
        <v>0</v>
      </c>
      <c r="U81" s="1">
        <f t="shared" si="16"/>
        <v>0</v>
      </c>
      <c r="V81" s="10" t="s">
        <v>41</v>
      </c>
      <c r="W81" s="1" t="s">
        <v>175</v>
      </c>
      <c r="X81" s="14">
        <f t="shared" si="17"/>
        <v>34100</v>
      </c>
      <c r="Y81" s="14">
        <f t="shared" si="18"/>
        <v>31000</v>
      </c>
      <c r="Z81" s="2">
        <f t="shared" si="19"/>
        <v>0.90909090909090906</v>
      </c>
      <c r="AA81" s="19">
        <v>0</v>
      </c>
      <c r="AB81" s="1">
        <f t="shared" si="20"/>
        <v>-30999.999999999996</v>
      </c>
      <c r="AC81" s="22">
        <f t="shared" si="21"/>
        <v>1</v>
      </c>
      <c r="AD81" s="23">
        <f t="shared" si="22"/>
        <v>3100.0000000000036</v>
      </c>
    </row>
    <row r="82" spans="1:30" ht="21" customHeight="1">
      <c r="A82" s="26">
        <f t="shared" si="12"/>
        <v>82</v>
      </c>
      <c r="B82" s="43">
        <v>2</v>
      </c>
      <c r="C82" s="44">
        <v>20</v>
      </c>
      <c r="D82" s="10" t="s">
        <v>236</v>
      </c>
      <c r="E82" s="9" t="s">
        <v>331</v>
      </c>
      <c r="F82" s="10">
        <v>1</v>
      </c>
      <c r="G82" s="11">
        <f t="shared" si="13"/>
        <v>22000</v>
      </c>
      <c r="H82" s="32"/>
      <c r="I82" s="18"/>
      <c r="J82" s="95">
        <v>45730</v>
      </c>
      <c r="K82" s="90"/>
      <c r="L82" s="12">
        <v>45719</v>
      </c>
      <c r="M82" s="12">
        <v>45727</v>
      </c>
      <c r="N82" s="1" t="s">
        <v>79</v>
      </c>
      <c r="O82" s="1" t="s">
        <v>143</v>
      </c>
      <c r="P82" s="1" t="s">
        <v>81</v>
      </c>
      <c r="Q82" s="10">
        <v>20000</v>
      </c>
      <c r="R82" s="13">
        <f t="shared" si="14"/>
        <v>20000</v>
      </c>
      <c r="S82" s="1">
        <f t="shared" si="15"/>
        <v>2000</v>
      </c>
      <c r="T82" s="1">
        <v>0</v>
      </c>
      <c r="U82" s="1">
        <f t="shared" si="16"/>
        <v>0</v>
      </c>
      <c r="V82" s="10" t="s">
        <v>41</v>
      </c>
      <c r="W82" s="1" t="s">
        <v>171</v>
      </c>
      <c r="X82" s="14">
        <f t="shared" si="17"/>
        <v>22000</v>
      </c>
      <c r="Y82" s="14">
        <f t="shared" si="18"/>
        <v>20000</v>
      </c>
      <c r="Z82" s="2">
        <f t="shared" si="19"/>
        <v>0.90909090909090906</v>
      </c>
      <c r="AA82" s="19">
        <v>0</v>
      </c>
      <c r="AB82" s="1">
        <f t="shared" si="20"/>
        <v>-20000</v>
      </c>
      <c r="AC82" s="22">
        <f t="shared" si="21"/>
        <v>1</v>
      </c>
      <c r="AD82" s="23">
        <f t="shared" si="22"/>
        <v>2000</v>
      </c>
    </row>
    <row r="83" spans="1:30" ht="21" customHeight="1">
      <c r="A83" s="26">
        <f t="shared" si="12"/>
        <v>83</v>
      </c>
      <c r="B83" s="43">
        <v>2</v>
      </c>
      <c r="C83" s="44">
        <v>20</v>
      </c>
      <c r="D83" s="10" t="s">
        <v>236</v>
      </c>
      <c r="E83" s="9" t="s">
        <v>331</v>
      </c>
      <c r="F83" s="10">
        <v>1</v>
      </c>
      <c r="G83" s="11">
        <f t="shared" si="13"/>
        <v>29700</v>
      </c>
      <c r="H83" s="32"/>
      <c r="I83" s="18"/>
      <c r="J83" s="95">
        <v>45730</v>
      </c>
      <c r="K83" s="90"/>
      <c r="L83" s="12">
        <v>45719</v>
      </c>
      <c r="M83" s="12">
        <v>45727</v>
      </c>
      <c r="N83" s="1" t="s">
        <v>38</v>
      </c>
      <c r="O83" s="1" t="s">
        <v>39</v>
      </c>
      <c r="P83" s="1" t="s">
        <v>332</v>
      </c>
      <c r="Q83" s="10">
        <v>27000</v>
      </c>
      <c r="R83" s="13">
        <f t="shared" si="14"/>
        <v>27000</v>
      </c>
      <c r="S83" s="1">
        <f t="shared" si="15"/>
        <v>2700</v>
      </c>
      <c r="T83" s="1">
        <v>0</v>
      </c>
      <c r="U83" s="1">
        <f t="shared" si="16"/>
        <v>0</v>
      </c>
      <c r="V83" s="10" t="s">
        <v>41</v>
      </c>
      <c r="W83" s="1" t="s">
        <v>171</v>
      </c>
      <c r="X83" s="14">
        <f t="shared" si="17"/>
        <v>29700</v>
      </c>
      <c r="Y83" s="14">
        <f t="shared" si="18"/>
        <v>27000</v>
      </c>
      <c r="Z83" s="2">
        <f t="shared" si="19"/>
        <v>0.90909090909090906</v>
      </c>
      <c r="AA83" s="19">
        <v>0</v>
      </c>
      <c r="AB83" s="1">
        <f t="shared" si="20"/>
        <v>-26999.999999999996</v>
      </c>
      <c r="AC83" s="22">
        <f t="shared" si="21"/>
        <v>1</v>
      </c>
      <c r="AD83" s="23">
        <f t="shared" si="22"/>
        <v>2700.0000000000036</v>
      </c>
    </row>
    <row r="84" spans="1:30" ht="21" customHeight="1">
      <c r="A84" s="26">
        <f t="shared" si="12"/>
        <v>84</v>
      </c>
      <c r="B84" s="43">
        <v>2</v>
      </c>
      <c r="C84" s="44">
        <v>20</v>
      </c>
      <c r="D84" s="10" t="s">
        <v>236</v>
      </c>
      <c r="E84" s="9" t="s">
        <v>331</v>
      </c>
      <c r="F84" s="10">
        <v>1</v>
      </c>
      <c r="G84" s="11">
        <f t="shared" si="13"/>
        <v>16500</v>
      </c>
      <c r="H84" s="32"/>
      <c r="I84" s="18"/>
      <c r="J84" s="95">
        <v>45730</v>
      </c>
      <c r="K84" s="90"/>
      <c r="L84" s="12">
        <v>45719</v>
      </c>
      <c r="M84" s="12">
        <v>45727</v>
      </c>
      <c r="N84" s="1" t="s">
        <v>38</v>
      </c>
      <c r="O84" s="1" t="s">
        <v>39</v>
      </c>
      <c r="P84" s="1" t="s">
        <v>163</v>
      </c>
      <c r="Q84" s="10">
        <v>15000</v>
      </c>
      <c r="R84" s="13">
        <f t="shared" si="14"/>
        <v>15000</v>
      </c>
      <c r="S84" s="1">
        <f t="shared" si="15"/>
        <v>1500</v>
      </c>
      <c r="T84" s="1">
        <v>0</v>
      </c>
      <c r="U84" s="1">
        <f t="shared" si="16"/>
        <v>0</v>
      </c>
      <c r="V84" s="10" t="s">
        <v>41</v>
      </c>
      <c r="W84" s="1" t="s">
        <v>171</v>
      </c>
      <c r="X84" s="14">
        <f t="shared" si="17"/>
        <v>16500</v>
      </c>
      <c r="Y84" s="14">
        <f t="shared" si="18"/>
        <v>15000</v>
      </c>
      <c r="Z84" s="2">
        <f t="shared" si="19"/>
        <v>0.90909090909090906</v>
      </c>
      <c r="AA84" s="19">
        <v>0</v>
      </c>
      <c r="AB84" s="1">
        <f t="shared" si="20"/>
        <v>-14999.999999999998</v>
      </c>
      <c r="AC84" s="22">
        <f t="shared" si="21"/>
        <v>1</v>
      </c>
      <c r="AD84" s="23">
        <f t="shared" si="22"/>
        <v>1500.0000000000018</v>
      </c>
    </row>
    <row r="85" spans="1:30" ht="21" customHeight="1">
      <c r="A85" s="26">
        <f t="shared" si="12"/>
        <v>85</v>
      </c>
      <c r="B85" s="43">
        <v>2</v>
      </c>
      <c r="C85" s="44">
        <v>24</v>
      </c>
      <c r="D85" s="27" t="s">
        <v>47</v>
      </c>
      <c r="E85" s="9" t="s">
        <v>110</v>
      </c>
      <c r="F85" s="10">
        <v>1</v>
      </c>
      <c r="G85" s="11">
        <f t="shared" si="13"/>
        <v>473000</v>
      </c>
      <c r="H85" s="31"/>
      <c r="I85" s="18"/>
      <c r="J85" s="95">
        <v>45715</v>
      </c>
      <c r="K85" s="90"/>
      <c r="L85" s="12">
        <v>45713</v>
      </c>
      <c r="M85" s="12">
        <v>45712</v>
      </c>
      <c r="N85" s="1" t="s">
        <v>111</v>
      </c>
      <c r="O85" s="1"/>
      <c r="P85" s="1" t="s">
        <v>44</v>
      </c>
      <c r="Q85" s="10">
        <v>430000</v>
      </c>
      <c r="R85" s="13">
        <f t="shared" si="14"/>
        <v>430000</v>
      </c>
      <c r="S85" s="1">
        <f t="shared" si="15"/>
        <v>43000</v>
      </c>
      <c r="T85" s="1">
        <v>0</v>
      </c>
      <c r="U85" s="1">
        <f t="shared" si="16"/>
        <v>0</v>
      </c>
      <c r="V85" s="10" t="s">
        <v>41</v>
      </c>
      <c r="W85" s="1" t="s">
        <v>333</v>
      </c>
      <c r="X85" s="14">
        <f t="shared" si="17"/>
        <v>240500</v>
      </c>
      <c r="Y85" s="14">
        <f t="shared" si="18"/>
        <v>197500</v>
      </c>
      <c r="Z85" s="2">
        <f t="shared" si="19"/>
        <v>0.41754756871035942</v>
      </c>
      <c r="AA85" s="19">
        <v>232500</v>
      </c>
      <c r="AB85" s="1">
        <f t="shared" si="20"/>
        <v>-218636.36363636359</v>
      </c>
      <c r="AC85" s="22">
        <f t="shared" si="21"/>
        <v>0.5084566596194503</v>
      </c>
      <c r="AD85" s="23">
        <f t="shared" si="22"/>
        <v>21863.636363636411</v>
      </c>
    </row>
    <row r="86" spans="1:30" ht="21" customHeight="1">
      <c r="A86" s="26">
        <f t="shared" si="12"/>
        <v>86</v>
      </c>
      <c r="B86" s="43">
        <v>2</v>
      </c>
      <c r="C86" s="44">
        <v>25</v>
      </c>
      <c r="D86" s="10" t="s">
        <v>162</v>
      </c>
      <c r="E86" s="9" t="s">
        <v>312</v>
      </c>
      <c r="F86" s="10">
        <v>4</v>
      </c>
      <c r="G86" s="11">
        <f t="shared" si="13"/>
        <v>44000</v>
      </c>
      <c r="H86" s="32"/>
      <c r="I86" s="18"/>
      <c r="J86" s="95">
        <v>45713</v>
      </c>
      <c r="K86" s="90"/>
      <c r="L86" s="12">
        <v>45719</v>
      </c>
      <c r="M86" s="25" t="s">
        <v>57</v>
      </c>
      <c r="N86" s="1" t="s">
        <v>166</v>
      </c>
      <c r="O86" s="1" t="s">
        <v>313</v>
      </c>
      <c r="P86" s="1" t="s">
        <v>35</v>
      </c>
      <c r="Q86" s="10">
        <v>10000</v>
      </c>
      <c r="R86" s="13">
        <f t="shared" si="14"/>
        <v>40000</v>
      </c>
      <c r="S86" s="1">
        <f t="shared" si="15"/>
        <v>4000</v>
      </c>
      <c r="T86" s="1">
        <v>0</v>
      </c>
      <c r="U86" s="1">
        <f t="shared" si="16"/>
        <v>0</v>
      </c>
      <c r="V86" s="10" t="s">
        <v>46</v>
      </c>
      <c r="W86" s="1" t="s">
        <v>237</v>
      </c>
      <c r="X86" s="14">
        <f t="shared" si="17"/>
        <v>25220</v>
      </c>
      <c r="Y86" s="14">
        <f t="shared" si="18"/>
        <v>21220</v>
      </c>
      <c r="Z86" s="2">
        <f t="shared" si="19"/>
        <v>0.4822727272727273</v>
      </c>
      <c r="AA86" s="19">
        <v>18780</v>
      </c>
      <c r="AB86" s="1">
        <f t="shared" si="20"/>
        <v>-22927.272727272728</v>
      </c>
      <c r="AC86" s="22">
        <f t="shared" si="21"/>
        <v>0.57318181818181824</v>
      </c>
      <c r="AD86" s="23">
        <f t="shared" si="22"/>
        <v>2292.7272727272721</v>
      </c>
    </row>
    <row r="87" spans="1:30" ht="21" customHeight="1">
      <c r="A87" s="26">
        <f t="shared" si="12"/>
        <v>87</v>
      </c>
      <c r="B87" s="43">
        <v>2</v>
      </c>
      <c r="C87" s="44">
        <v>25</v>
      </c>
      <c r="D87" s="1" t="s">
        <v>70</v>
      </c>
      <c r="E87" s="9" t="s">
        <v>148</v>
      </c>
      <c r="F87" s="10">
        <v>1</v>
      </c>
      <c r="G87" s="11">
        <f t="shared" si="13"/>
        <v>20000</v>
      </c>
      <c r="H87" s="32"/>
      <c r="I87" s="18"/>
      <c r="J87" s="95">
        <v>45720</v>
      </c>
      <c r="K87" s="90"/>
      <c r="L87" s="25" t="s">
        <v>57</v>
      </c>
      <c r="M87" s="25" t="s">
        <v>57</v>
      </c>
      <c r="N87" s="1" t="s">
        <v>38</v>
      </c>
      <c r="O87" s="1" t="s">
        <v>149</v>
      </c>
      <c r="P87" s="1" t="s">
        <v>150</v>
      </c>
      <c r="Q87" s="10">
        <v>20000</v>
      </c>
      <c r="R87" s="13">
        <f t="shared" si="14"/>
        <v>20000</v>
      </c>
      <c r="S87" s="1">
        <v>0</v>
      </c>
      <c r="T87" s="1">
        <v>0</v>
      </c>
      <c r="U87" s="1">
        <f t="shared" si="16"/>
        <v>0</v>
      </c>
      <c r="V87" s="10" t="s">
        <v>41</v>
      </c>
      <c r="W87" s="1" t="s">
        <v>287</v>
      </c>
      <c r="X87" s="14">
        <f t="shared" si="17"/>
        <v>20000</v>
      </c>
      <c r="Y87" s="14">
        <f t="shared" si="18"/>
        <v>20000</v>
      </c>
      <c r="Z87" s="2">
        <f t="shared" si="19"/>
        <v>1</v>
      </c>
      <c r="AA87" s="19">
        <v>0</v>
      </c>
      <c r="AB87" s="1">
        <f t="shared" si="20"/>
        <v>-18181.81818181818</v>
      </c>
      <c r="AC87" s="20">
        <f t="shared" si="21"/>
        <v>1</v>
      </c>
      <c r="AD87" s="21">
        <f t="shared" si="22"/>
        <v>1818.1818181818198</v>
      </c>
    </row>
    <row r="88" spans="1:30" ht="21" customHeight="1">
      <c r="A88" s="26">
        <f t="shared" si="12"/>
        <v>88</v>
      </c>
      <c r="B88" s="43">
        <v>2</v>
      </c>
      <c r="C88" s="44">
        <v>25</v>
      </c>
      <c r="D88" s="1" t="s">
        <v>70</v>
      </c>
      <c r="E88" s="9" t="s">
        <v>148</v>
      </c>
      <c r="F88" s="10">
        <v>1</v>
      </c>
      <c r="G88" s="11">
        <f t="shared" si="13"/>
        <v>20000</v>
      </c>
      <c r="H88" s="32"/>
      <c r="I88" s="18"/>
      <c r="J88" s="95">
        <v>45720</v>
      </c>
      <c r="K88" s="90"/>
      <c r="L88" s="25" t="s">
        <v>57</v>
      </c>
      <c r="M88" s="25" t="s">
        <v>57</v>
      </c>
      <c r="N88" s="1" t="s">
        <v>38</v>
      </c>
      <c r="O88" s="1" t="s">
        <v>149</v>
      </c>
      <c r="P88" s="1" t="s">
        <v>334</v>
      </c>
      <c r="Q88" s="10">
        <v>20000</v>
      </c>
      <c r="R88" s="13">
        <f t="shared" si="14"/>
        <v>20000</v>
      </c>
      <c r="S88" s="1">
        <v>0</v>
      </c>
      <c r="T88" s="1">
        <v>0</v>
      </c>
      <c r="U88" s="1">
        <f t="shared" si="16"/>
        <v>0</v>
      </c>
      <c r="V88" s="10" t="s">
        <v>41</v>
      </c>
      <c r="W88" s="1" t="s">
        <v>287</v>
      </c>
      <c r="X88" s="14">
        <f t="shared" si="17"/>
        <v>20000</v>
      </c>
      <c r="Y88" s="14">
        <f t="shared" si="18"/>
        <v>20000</v>
      </c>
      <c r="Z88" s="2">
        <f t="shared" si="19"/>
        <v>1</v>
      </c>
      <c r="AA88" s="19">
        <v>0</v>
      </c>
      <c r="AB88" s="1">
        <f t="shared" si="20"/>
        <v>-18181.81818181818</v>
      </c>
      <c r="AC88" s="20">
        <f t="shared" si="21"/>
        <v>1</v>
      </c>
      <c r="AD88" s="21">
        <f t="shared" si="22"/>
        <v>1818.1818181818198</v>
      </c>
    </row>
    <row r="89" spans="1:30" ht="21" customHeight="1">
      <c r="A89" s="26">
        <f t="shared" si="12"/>
        <v>89</v>
      </c>
      <c r="B89" s="43">
        <v>2</v>
      </c>
      <c r="C89" s="44">
        <v>26</v>
      </c>
      <c r="D89" s="10" t="s">
        <v>70</v>
      </c>
      <c r="E89" s="9" t="s">
        <v>335</v>
      </c>
      <c r="F89" s="10">
        <v>1</v>
      </c>
      <c r="G89" s="11">
        <f t="shared" si="13"/>
        <v>847000</v>
      </c>
      <c r="H89" s="31"/>
      <c r="I89" s="18"/>
      <c r="J89" s="95">
        <v>45694</v>
      </c>
      <c r="K89" s="90"/>
      <c r="L89" s="12">
        <v>45714</v>
      </c>
      <c r="M89" s="12">
        <v>45713</v>
      </c>
      <c r="N89" s="1" t="s">
        <v>111</v>
      </c>
      <c r="O89" s="1"/>
      <c r="P89" s="1" t="s">
        <v>44</v>
      </c>
      <c r="Q89" s="10">
        <v>770000</v>
      </c>
      <c r="R89" s="13">
        <f t="shared" si="14"/>
        <v>770000</v>
      </c>
      <c r="S89" s="1">
        <f>R89*0.1</f>
        <v>77000</v>
      </c>
      <c r="T89" s="1">
        <v>0</v>
      </c>
      <c r="U89" s="1">
        <f t="shared" si="16"/>
        <v>0</v>
      </c>
      <c r="V89" s="10" t="s">
        <v>41</v>
      </c>
      <c r="W89" s="1" t="s">
        <v>275</v>
      </c>
      <c r="X89" s="14">
        <f t="shared" si="17"/>
        <v>432700</v>
      </c>
      <c r="Y89" s="14">
        <f t="shared" si="18"/>
        <v>355700</v>
      </c>
      <c r="Z89" s="2">
        <f t="shared" si="19"/>
        <v>0.41995277449822904</v>
      </c>
      <c r="AA89" s="19">
        <v>414300</v>
      </c>
      <c r="AB89" s="1">
        <f t="shared" si="20"/>
        <v>-393363.63636363629</v>
      </c>
      <c r="AC89" s="22">
        <f t="shared" si="21"/>
        <v>0.51086186540731993</v>
      </c>
      <c r="AD89" s="23">
        <f t="shared" si="22"/>
        <v>39336.363636363705</v>
      </c>
    </row>
    <row r="90" spans="1:30" ht="21" customHeight="1">
      <c r="A90" s="26">
        <f t="shared" si="12"/>
        <v>90</v>
      </c>
      <c r="B90" s="43">
        <v>2</v>
      </c>
      <c r="C90" s="44">
        <v>26</v>
      </c>
      <c r="D90" s="10" t="s">
        <v>56</v>
      </c>
      <c r="E90" s="9" t="s">
        <v>336</v>
      </c>
      <c r="F90" s="10">
        <v>1</v>
      </c>
      <c r="G90" s="11">
        <f t="shared" si="13"/>
        <v>29000</v>
      </c>
      <c r="H90" s="31"/>
      <c r="I90" s="18"/>
      <c r="J90" s="95">
        <v>45772</v>
      </c>
      <c r="K90" s="90"/>
      <c r="L90" s="25" t="s">
        <v>57</v>
      </c>
      <c r="M90" s="12">
        <v>45728</v>
      </c>
      <c r="N90" s="1" t="s">
        <v>38</v>
      </c>
      <c r="O90" s="1" t="s">
        <v>39</v>
      </c>
      <c r="P90" s="1" t="s">
        <v>59</v>
      </c>
      <c r="Q90" s="10">
        <v>29000</v>
      </c>
      <c r="R90" s="13">
        <f t="shared" si="14"/>
        <v>29000</v>
      </c>
      <c r="S90" s="1">
        <v>0</v>
      </c>
      <c r="T90" s="1">
        <v>0</v>
      </c>
      <c r="U90" s="1">
        <f t="shared" si="16"/>
        <v>0</v>
      </c>
      <c r="V90" s="10" t="s">
        <v>41</v>
      </c>
      <c r="W90" s="1" t="s">
        <v>275</v>
      </c>
      <c r="X90" s="14">
        <f t="shared" si="17"/>
        <v>29000</v>
      </c>
      <c r="Y90" s="14">
        <f t="shared" si="18"/>
        <v>29000</v>
      </c>
      <c r="Z90" s="2">
        <f t="shared" si="19"/>
        <v>1</v>
      </c>
      <c r="AA90" s="19">
        <v>0</v>
      </c>
      <c r="AB90" s="1">
        <f t="shared" si="20"/>
        <v>-26363.63636363636</v>
      </c>
      <c r="AC90" s="22">
        <f t="shared" si="21"/>
        <v>1</v>
      </c>
      <c r="AD90" s="23">
        <f t="shared" si="22"/>
        <v>2636.3636363636397</v>
      </c>
    </row>
    <row r="91" spans="1:30" ht="21" customHeight="1">
      <c r="A91" s="26">
        <f t="shared" si="12"/>
        <v>91</v>
      </c>
      <c r="B91" s="43">
        <v>2</v>
      </c>
      <c r="C91" s="44">
        <v>27</v>
      </c>
      <c r="D91" s="27" t="s">
        <v>37</v>
      </c>
      <c r="E91" s="9" t="s">
        <v>91</v>
      </c>
      <c r="F91" s="10">
        <v>100</v>
      </c>
      <c r="G91" s="11">
        <f t="shared" si="13"/>
        <v>1870000</v>
      </c>
      <c r="H91" s="31"/>
      <c r="I91" s="18"/>
      <c r="J91" s="95">
        <v>45750</v>
      </c>
      <c r="K91" s="90"/>
      <c r="L91" s="12">
        <v>45719</v>
      </c>
      <c r="M91" s="12">
        <v>45715</v>
      </c>
      <c r="N91" s="1" t="s">
        <v>337</v>
      </c>
      <c r="O91" s="1" t="s">
        <v>92</v>
      </c>
      <c r="P91" s="1" t="s">
        <v>93</v>
      </c>
      <c r="Q91" s="10">
        <v>17000</v>
      </c>
      <c r="R91" s="13">
        <f t="shared" si="14"/>
        <v>1700000</v>
      </c>
      <c r="S91" s="1">
        <f t="shared" ref="S91:S100" si="23">R91*0.1</f>
        <v>170000</v>
      </c>
      <c r="T91" s="1">
        <v>0</v>
      </c>
      <c r="U91" s="1">
        <f t="shared" si="16"/>
        <v>0</v>
      </c>
      <c r="V91" s="10" t="s">
        <v>36</v>
      </c>
      <c r="W91" s="1" t="s">
        <v>230</v>
      </c>
      <c r="X91" s="14">
        <f t="shared" si="17"/>
        <v>544170</v>
      </c>
      <c r="Y91" s="14">
        <f t="shared" si="18"/>
        <v>374170</v>
      </c>
      <c r="Z91" s="2">
        <f t="shared" si="19"/>
        <v>0.2000909090909091</v>
      </c>
      <c r="AA91" s="19">
        <v>1325830</v>
      </c>
      <c r="AB91" s="1">
        <f t="shared" si="20"/>
        <v>-494699.99999999977</v>
      </c>
      <c r="AC91" s="22">
        <f t="shared" si="21"/>
        <v>0.29099999999999993</v>
      </c>
      <c r="AD91" s="23">
        <f t="shared" si="22"/>
        <v>49470.000000000233</v>
      </c>
    </row>
    <row r="92" spans="1:30" ht="21" customHeight="1">
      <c r="A92" s="26">
        <f t="shared" si="12"/>
        <v>92</v>
      </c>
      <c r="B92" s="43">
        <v>2</v>
      </c>
      <c r="C92" s="44">
        <v>27</v>
      </c>
      <c r="D92" s="27" t="s">
        <v>37</v>
      </c>
      <c r="E92" s="9" t="s">
        <v>169</v>
      </c>
      <c r="F92" s="10">
        <v>500</v>
      </c>
      <c r="G92" s="11">
        <f t="shared" si="13"/>
        <v>990000</v>
      </c>
      <c r="H92" s="31"/>
      <c r="I92" s="18"/>
      <c r="J92" s="95">
        <v>45750</v>
      </c>
      <c r="K92" s="90"/>
      <c r="L92" s="12">
        <v>45719</v>
      </c>
      <c r="M92" s="12">
        <v>45349</v>
      </c>
      <c r="N92" s="1"/>
      <c r="O92" s="1"/>
      <c r="P92" s="1"/>
      <c r="Q92" s="10">
        <v>1800</v>
      </c>
      <c r="R92" s="13">
        <f t="shared" si="14"/>
        <v>900000</v>
      </c>
      <c r="S92" s="1">
        <f t="shared" si="23"/>
        <v>90000</v>
      </c>
      <c r="T92" s="1">
        <v>0</v>
      </c>
      <c r="U92" s="1">
        <f t="shared" si="16"/>
        <v>0</v>
      </c>
      <c r="V92" s="10" t="s">
        <v>338</v>
      </c>
      <c r="W92" s="1" t="s">
        <v>230</v>
      </c>
      <c r="X92" s="14">
        <f t="shared" si="17"/>
        <v>287100</v>
      </c>
      <c r="Y92" s="14">
        <f t="shared" si="18"/>
        <v>197100</v>
      </c>
      <c r="Z92" s="2">
        <f t="shared" si="19"/>
        <v>0.1990909090909091</v>
      </c>
      <c r="AA92" s="19">
        <v>702900</v>
      </c>
      <c r="AB92" s="1">
        <f t="shared" si="20"/>
        <v>-260999.99999999988</v>
      </c>
      <c r="AC92" s="22">
        <f t="shared" si="21"/>
        <v>0.28999999999999992</v>
      </c>
      <c r="AD92" s="23">
        <f t="shared" si="22"/>
        <v>26100.000000000116</v>
      </c>
    </row>
    <row r="93" spans="1:30" ht="21" customHeight="1">
      <c r="A93" s="26">
        <f t="shared" si="12"/>
        <v>93</v>
      </c>
      <c r="B93" s="43">
        <v>2</v>
      </c>
      <c r="C93" s="44">
        <v>27</v>
      </c>
      <c r="D93" s="3" t="s">
        <v>37</v>
      </c>
      <c r="E93" s="9" t="s">
        <v>127</v>
      </c>
      <c r="F93" s="10">
        <v>10</v>
      </c>
      <c r="G93" s="11">
        <f t="shared" si="13"/>
        <v>374000</v>
      </c>
      <c r="H93" s="31"/>
      <c r="I93" s="18"/>
      <c r="J93" s="95">
        <v>45750</v>
      </c>
      <c r="K93" s="90"/>
      <c r="L93" s="12">
        <v>45719</v>
      </c>
      <c r="M93" s="12">
        <v>45349</v>
      </c>
      <c r="N93" s="1" t="s">
        <v>128</v>
      </c>
      <c r="O93" s="33"/>
      <c r="P93" s="1" t="s">
        <v>129</v>
      </c>
      <c r="Q93" s="10">
        <v>34000</v>
      </c>
      <c r="R93" s="13">
        <f t="shared" si="14"/>
        <v>340000</v>
      </c>
      <c r="S93" s="1">
        <f t="shared" si="23"/>
        <v>34000</v>
      </c>
      <c r="T93" s="1">
        <v>0</v>
      </c>
      <c r="U93" s="1">
        <f t="shared" si="16"/>
        <v>0</v>
      </c>
      <c r="V93" s="10" t="s">
        <v>41</v>
      </c>
      <c r="W93" s="1" t="s">
        <v>230</v>
      </c>
      <c r="X93" s="14">
        <f t="shared" si="17"/>
        <v>99000</v>
      </c>
      <c r="Y93" s="14">
        <f t="shared" si="18"/>
        <v>65000</v>
      </c>
      <c r="Z93" s="2">
        <f t="shared" si="19"/>
        <v>0.17379679144385027</v>
      </c>
      <c r="AA93" s="19">
        <v>275000</v>
      </c>
      <c r="AB93" s="1">
        <f t="shared" si="20"/>
        <v>-90000.000000000029</v>
      </c>
      <c r="AC93" s="22">
        <f t="shared" si="21"/>
        <v>0.26470588235294124</v>
      </c>
      <c r="AD93" s="23">
        <f t="shared" si="22"/>
        <v>8999.9999999999709</v>
      </c>
    </row>
    <row r="94" spans="1:30" ht="21" customHeight="1">
      <c r="A94" s="26">
        <f t="shared" si="12"/>
        <v>94</v>
      </c>
      <c r="B94" s="43">
        <v>2</v>
      </c>
      <c r="C94" s="44">
        <v>27</v>
      </c>
      <c r="D94" s="1" t="s">
        <v>37</v>
      </c>
      <c r="E94" s="9" t="s">
        <v>130</v>
      </c>
      <c r="F94" s="10">
        <v>10</v>
      </c>
      <c r="G94" s="11">
        <f t="shared" si="13"/>
        <v>374000</v>
      </c>
      <c r="H94" s="31"/>
      <c r="I94" s="18"/>
      <c r="J94" s="95">
        <v>45750</v>
      </c>
      <c r="K94" s="90"/>
      <c r="L94" s="12">
        <v>45719</v>
      </c>
      <c r="M94" s="12">
        <v>45349</v>
      </c>
      <c r="N94" s="1" t="s">
        <v>128</v>
      </c>
      <c r="O94" s="33"/>
      <c r="P94" s="1" t="s">
        <v>129</v>
      </c>
      <c r="Q94" s="10">
        <v>34000</v>
      </c>
      <c r="R94" s="13">
        <f t="shared" si="14"/>
        <v>340000</v>
      </c>
      <c r="S94" s="1">
        <f t="shared" si="23"/>
        <v>34000</v>
      </c>
      <c r="T94" s="1">
        <v>0</v>
      </c>
      <c r="U94" s="1">
        <f t="shared" si="16"/>
        <v>0</v>
      </c>
      <c r="V94" s="10" t="s">
        <v>41</v>
      </c>
      <c r="W94" s="1" t="s">
        <v>230</v>
      </c>
      <c r="X94" s="14">
        <f t="shared" si="17"/>
        <v>99000</v>
      </c>
      <c r="Y94" s="14">
        <f t="shared" si="18"/>
        <v>65000</v>
      </c>
      <c r="Z94" s="2">
        <f t="shared" si="19"/>
        <v>0.17379679144385027</v>
      </c>
      <c r="AA94" s="19">
        <v>275000</v>
      </c>
      <c r="AB94" s="1">
        <f t="shared" si="20"/>
        <v>-90000.000000000029</v>
      </c>
      <c r="AC94" s="22">
        <f t="shared" si="21"/>
        <v>0.26470588235294124</v>
      </c>
      <c r="AD94" s="23">
        <f t="shared" si="22"/>
        <v>8999.9999999999709</v>
      </c>
    </row>
    <row r="95" spans="1:30" ht="21" customHeight="1">
      <c r="A95" s="26">
        <f t="shared" si="12"/>
        <v>95</v>
      </c>
      <c r="B95" s="43">
        <v>2</v>
      </c>
      <c r="C95" s="44">
        <v>27</v>
      </c>
      <c r="D95" s="1" t="s">
        <v>37</v>
      </c>
      <c r="E95" s="9" t="s">
        <v>339</v>
      </c>
      <c r="F95" s="10">
        <v>20</v>
      </c>
      <c r="G95" s="11">
        <f t="shared" si="13"/>
        <v>550000</v>
      </c>
      <c r="H95" s="31"/>
      <c r="I95" s="18"/>
      <c r="J95" s="95">
        <v>45750</v>
      </c>
      <c r="K95" s="90"/>
      <c r="L95" s="12">
        <v>45719</v>
      </c>
      <c r="M95" s="12">
        <v>45349</v>
      </c>
      <c r="N95" s="1" t="s">
        <v>42</v>
      </c>
      <c r="O95" s="33"/>
      <c r="P95" s="1" t="s">
        <v>72</v>
      </c>
      <c r="Q95" s="10">
        <v>25000</v>
      </c>
      <c r="R95" s="13">
        <f t="shared" si="14"/>
        <v>500000</v>
      </c>
      <c r="S95" s="1">
        <f t="shared" si="23"/>
        <v>50000</v>
      </c>
      <c r="T95" s="1">
        <v>0</v>
      </c>
      <c r="U95" s="1">
        <f t="shared" si="16"/>
        <v>0</v>
      </c>
      <c r="V95" s="10" t="s">
        <v>41</v>
      </c>
      <c r="W95" s="1" t="s">
        <v>230</v>
      </c>
      <c r="X95" s="14">
        <f t="shared" si="17"/>
        <v>290400</v>
      </c>
      <c r="Y95" s="14">
        <f t="shared" si="18"/>
        <v>240400</v>
      </c>
      <c r="Z95" s="2">
        <f t="shared" si="19"/>
        <v>0.43709090909090909</v>
      </c>
      <c r="AA95" s="19">
        <v>259600</v>
      </c>
      <c r="AB95" s="1">
        <f t="shared" si="20"/>
        <v>-264000</v>
      </c>
      <c r="AC95" s="22">
        <f t="shared" si="21"/>
        <v>0.52800000000000002</v>
      </c>
      <c r="AD95" s="23">
        <f t="shared" si="22"/>
        <v>26400.000000000029</v>
      </c>
    </row>
    <row r="96" spans="1:30" ht="21" customHeight="1">
      <c r="A96" s="26">
        <f t="shared" si="12"/>
        <v>96</v>
      </c>
      <c r="B96" s="43">
        <v>2</v>
      </c>
      <c r="C96" s="44">
        <v>28</v>
      </c>
      <c r="D96" s="1" t="s">
        <v>37</v>
      </c>
      <c r="E96" s="9" t="s">
        <v>340</v>
      </c>
      <c r="F96" s="10">
        <v>1</v>
      </c>
      <c r="G96" s="11">
        <f t="shared" si="13"/>
        <v>30800</v>
      </c>
      <c r="H96" s="31"/>
      <c r="I96" s="18"/>
      <c r="J96" s="95">
        <v>45714</v>
      </c>
      <c r="K96" s="90"/>
      <c r="L96" s="12">
        <v>45719</v>
      </c>
      <c r="M96" s="12">
        <v>45713</v>
      </c>
      <c r="N96" s="1" t="s">
        <v>45</v>
      </c>
      <c r="O96" s="1" t="s">
        <v>341</v>
      </c>
      <c r="P96" s="1" t="s">
        <v>342</v>
      </c>
      <c r="Q96" s="10">
        <v>28000</v>
      </c>
      <c r="R96" s="13">
        <f t="shared" si="14"/>
        <v>28000</v>
      </c>
      <c r="S96" s="1">
        <f t="shared" si="23"/>
        <v>2800</v>
      </c>
      <c r="T96" s="1">
        <v>0</v>
      </c>
      <c r="U96" s="1">
        <f t="shared" si="16"/>
        <v>0</v>
      </c>
      <c r="V96" s="10" t="s">
        <v>36</v>
      </c>
      <c r="W96" s="1" t="s">
        <v>244</v>
      </c>
      <c r="X96" s="14">
        <f t="shared" si="17"/>
        <v>16420</v>
      </c>
      <c r="Y96" s="14">
        <f t="shared" si="18"/>
        <v>13620</v>
      </c>
      <c r="Z96" s="2">
        <f t="shared" si="19"/>
        <v>0.44220779220779222</v>
      </c>
      <c r="AA96" s="19">
        <v>14380</v>
      </c>
      <c r="AB96" s="1">
        <f t="shared" si="20"/>
        <v>-14927.272727272724</v>
      </c>
      <c r="AC96" s="22">
        <f t="shared" si="21"/>
        <v>0.5331168831168831</v>
      </c>
      <c r="AD96" s="23">
        <f t="shared" si="22"/>
        <v>1492.7272727272757</v>
      </c>
    </row>
    <row r="97" spans="1:30" ht="21" customHeight="1">
      <c r="A97" s="26">
        <f t="shared" si="12"/>
        <v>97</v>
      </c>
      <c r="B97" s="43">
        <v>2</v>
      </c>
      <c r="C97" s="44">
        <v>28</v>
      </c>
      <c r="D97" s="1" t="s">
        <v>343</v>
      </c>
      <c r="E97" s="9" t="s">
        <v>344</v>
      </c>
      <c r="F97" s="10">
        <v>1</v>
      </c>
      <c r="G97" s="11">
        <f t="shared" si="13"/>
        <v>555500</v>
      </c>
      <c r="H97" s="31"/>
      <c r="I97" s="18"/>
      <c r="J97" s="95">
        <v>45728</v>
      </c>
      <c r="K97" s="90"/>
      <c r="L97" s="12">
        <v>45727</v>
      </c>
      <c r="M97" s="12">
        <v>45727</v>
      </c>
      <c r="N97" s="1" t="s">
        <v>76</v>
      </c>
      <c r="O97" s="1" t="s">
        <v>345</v>
      </c>
      <c r="P97" s="1" t="s">
        <v>346</v>
      </c>
      <c r="Q97" s="10">
        <v>480000</v>
      </c>
      <c r="R97" s="13">
        <f t="shared" si="14"/>
        <v>480000</v>
      </c>
      <c r="S97" s="1">
        <f t="shared" si="23"/>
        <v>48000</v>
      </c>
      <c r="T97" s="1">
        <v>25000</v>
      </c>
      <c r="U97" s="1">
        <f t="shared" si="16"/>
        <v>2500</v>
      </c>
      <c r="V97" s="10" t="s">
        <v>36</v>
      </c>
      <c r="W97" s="1" t="s">
        <v>347</v>
      </c>
      <c r="X97" s="14">
        <f t="shared" si="17"/>
        <v>236660</v>
      </c>
      <c r="Y97" s="14">
        <f t="shared" si="18"/>
        <v>188660</v>
      </c>
      <c r="Z97" s="2">
        <f t="shared" si="19"/>
        <v>0.3396219621962196</v>
      </c>
      <c r="AA97" s="19">
        <v>318840</v>
      </c>
      <c r="AB97" s="1">
        <f t="shared" si="20"/>
        <v>-215145.45454545453</v>
      </c>
      <c r="AC97" s="22">
        <f t="shared" si="21"/>
        <v>0.42603060306030605</v>
      </c>
      <c r="AD97" s="23">
        <f t="shared" si="22"/>
        <v>21514.54545454547</v>
      </c>
    </row>
    <row r="98" spans="1:30" ht="21" customHeight="1">
      <c r="A98" s="26">
        <f t="shared" si="12"/>
        <v>98</v>
      </c>
      <c r="B98" s="43">
        <v>2</v>
      </c>
      <c r="C98" s="44">
        <v>28</v>
      </c>
      <c r="D98" s="1" t="s">
        <v>70</v>
      </c>
      <c r="E98" s="9" t="s">
        <v>148</v>
      </c>
      <c r="F98" s="10">
        <v>1</v>
      </c>
      <c r="G98" s="11">
        <f t="shared" si="13"/>
        <v>25300</v>
      </c>
      <c r="H98" s="31"/>
      <c r="I98" s="18"/>
      <c r="J98" s="95">
        <v>45699</v>
      </c>
      <c r="K98" s="90"/>
      <c r="L98" s="12">
        <v>45719</v>
      </c>
      <c r="M98" s="12">
        <v>45729</v>
      </c>
      <c r="N98" s="1" t="s">
        <v>38</v>
      </c>
      <c r="O98" s="1" t="s">
        <v>149</v>
      </c>
      <c r="P98" s="1" t="s">
        <v>150</v>
      </c>
      <c r="Q98" s="10">
        <v>23000</v>
      </c>
      <c r="R98" s="13">
        <f t="shared" si="14"/>
        <v>23000</v>
      </c>
      <c r="S98" s="1">
        <f t="shared" si="23"/>
        <v>2300</v>
      </c>
      <c r="T98" s="1">
        <v>0</v>
      </c>
      <c r="U98" s="1">
        <f t="shared" si="16"/>
        <v>0</v>
      </c>
      <c r="V98" s="10" t="s">
        <v>41</v>
      </c>
      <c r="W98" s="1" t="s">
        <v>275</v>
      </c>
      <c r="X98" s="14">
        <f t="shared" si="17"/>
        <v>25300</v>
      </c>
      <c r="Y98" s="14">
        <f t="shared" si="18"/>
        <v>23000</v>
      </c>
      <c r="Z98" s="2">
        <f t="shared" si="19"/>
        <v>0.90909090909090906</v>
      </c>
      <c r="AA98" s="19">
        <v>0</v>
      </c>
      <c r="AB98" s="1">
        <f t="shared" si="20"/>
        <v>-22999.999999999996</v>
      </c>
      <c r="AC98" s="20">
        <f t="shared" si="21"/>
        <v>1</v>
      </c>
      <c r="AD98" s="21">
        <f t="shared" si="22"/>
        <v>2300.0000000000036</v>
      </c>
    </row>
    <row r="99" spans="1:30" ht="21" customHeight="1">
      <c r="A99" s="26">
        <f t="shared" si="12"/>
        <v>99</v>
      </c>
      <c r="B99" s="43">
        <v>2</v>
      </c>
      <c r="C99" s="44">
        <v>28</v>
      </c>
      <c r="D99" s="1" t="s">
        <v>70</v>
      </c>
      <c r="E99" s="9" t="s">
        <v>170</v>
      </c>
      <c r="F99" s="10">
        <v>1</v>
      </c>
      <c r="G99" s="11">
        <f t="shared" si="13"/>
        <v>8800</v>
      </c>
      <c r="H99" s="31"/>
      <c r="I99" s="18"/>
      <c r="J99" s="95">
        <v>45699</v>
      </c>
      <c r="K99" s="90"/>
      <c r="L99" s="12">
        <v>45719</v>
      </c>
      <c r="M99" s="12">
        <v>45729</v>
      </c>
      <c r="N99" s="1" t="s">
        <v>48</v>
      </c>
      <c r="O99" s="1"/>
      <c r="P99" s="1" t="s">
        <v>49</v>
      </c>
      <c r="Q99" s="10">
        <v>8000</v>
      </c>
      <c r="R99" s="13">
        <f t="shared" si="14"/>
        <v>8000</v>
      </c>
      <c r="S99" s="1">
        <f t="shared" si="23"/>
        <v>800</v>
      </c>
      <c r="T99" s="1">
        <v>0</v>
      </c>
      <c r="U99" s="1">
        <f t="shared" si="16"/>
        <v>0</v>
      </c>
      <c r="V99" s="10" t="s">
        <v>41</v>
      </c>
      <c r="W99" s="1" t="s">
        <v>275</v>
      </c>
      <c r="X99" s="14">
        <f t="shared" si="17"/>
        <v>8800</v>
      </c>
      <c r="Y99" s="14">
        <f t="shared" si="18"/>
        <v>8000</v>
      </c>
      <c r="Z99" s="2">
        <f t="shared" si="19"/>
        <v>0.90909090909090906</v>
      </c>
      <c r="AA99" s="19">
        <v>0</v>
      </c>
      <c r="AB99" s="1">
        <f t="shared" si="20"/>
        <v>-7999.9999999999991</v>
      </c>
      <c r="AC99" s="20">
        <f t="shared" si="21"/>
        <v>1</v>
      </c>
      <c r="AD99" s="21">
        <f t="shared" si="22"/>
        <v>800.00000000000091</v>
      </c>
    </row>
    <row r="100" spans="1:30" ht="21" customHeight="1">
      <c r="A100" s="26">
        <f t="shared" si="12"/>
        <v>100</v>
      </c>
      <c r="B100" s="43">
        <v>2</v>
      </c>
      <c r="C100" s="44">
        <v>28</v>
      </c>
      <c r="D100" s="1" t="s">
        <v>56</v>
      </c>
      <c r="E100" s="9" t="s">
        <v>348</v>
      </c>
      <c r="F100" s="10">
        <v>1</v>
      </c>
      <c r="G100" s="11">
        <f t="shared" si="13"/>
        <v>44000</v>
      </c>
      <c r="H100" s="31"/>
      <c r="I100" s="18"/>
      <c r="J100" s="95">
        <v>45772</v>
      </c>
      <c r="K100" s="90"/>
      <c r="L100" s="25" t="s">
        <v>57</v>
      </c>
      <c r="M100" s="12">
        <v>45728</v>
      </c>
      <c r="N100" s="1" t="s">
        <v>74</v>
      </c>
      <c r="O100" s="1"/>
      <c r="P100" s="1"/>
      <c r="Q100" s="10">
        <v>40000</v>
      </c>
      <c r="R100" s="13">
        <f t="shared" si="14"/>
        <v>40000</v>
      </c>
      <c r="S100" s="1">
        <f t="shared" si="23"/>
        <v>4000</v>
      </c>
      <c r="T100" s="1">
        <v>0</v>
      </c>
      <c r="U100" s="1">
        <f t="shared" si="16"/>
        <v>0</v>
      </c>
      <c r="V100" s="10" t="s">
        <v>41</v>
      </c>
      <c r="W100" s="1" t="s">
        <v>177</v>
      </c>
      <c r="X100" s="14">
        <f t="shared" si="17"/>
        <v>44000</v>
      </c>
      <c r="Y100" s="14">
        <f t="shared" si="18"/>
        <v>40000</v>
      </c>
      <c r="Z100" s="2">
        <f t="shared" si="19"/>
        <v>0.90909090909090906</v>
      </c>
      <c r="AA100" s="19">
        <v>0</v>
      </c>
      <c r="AB100" s="1">
        <f t="shared" si="20"/>
        <v>-40000</v>
      </c>
      <c r="AC100" s="20">
        <f t="shared" si="21"/>
        <v>1</v>
      </c>
      <c r="AD100" s="21">
        <f t="shared" si="22"/>
        <v>4000</v>
      </c>
    </row>
    <row r="101" spans="1:30" ht="2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  <c r="AA101" s="1"/>
      <c r="AB101" s="1"/>
      <c r="AC101" s="1"/>
      <c r="AD101" s="1"/>
    </row>
    <row r="102" spans="1:30" ht="21" customHeight="1">
      <c r="A102" s="26">
        <f t="shared" ref="A102:A132" si="24">ROW()</f>
        <v>102</v>
      </c>
      <c r="B102" s="13">
        <v>3</v>
      </c>
      <c r="C102" s="38">
        <v>5</v>
      </c>
      <c r="D102" s="27" t="s">
        <v>37</v>
      </c>
      <c r="E102" s="9" t="s">
        <v>182</v>
      </c>
      <c r="F102" s="10">
        <v>500</v>
      </c>
      <c r="G102" s="11">
        <f t="shared" ref="G102:G132" si="25">R102+S102+T102+U102</f>
        <v>357500</v>
      </c>
      <c r="H102" s="31"/>
      <c r="I102" s="18"/>
      <c r="J102" s="95">
        <v>45750</v>
      </c>
      <c r="K102" s="90"/>
      <c r="L102" s="12">
        <v>45740</v>
      </c>
      <c r="M102" s="12">
        <v>45726</v>
      </c>
      <c r="N102" s="1" t="s">
        <v>67</v>
      </c>
      <c r="O102" s="28" t="s">
        <v>68</v>
      </c>
      <c r="P102" s="1" t="s">
        <v>69</v>
      </c>
      <c r="Q102" s="10">
        <v>650</v>
      </c>
      <c r="R102" s="13">
        <f t="shared" ref="R102:R132" si="26">Q102*F102</f>
        <v>325000</v>
      </c>
      <c r="S102" s="1">
        <f t="shared" ref="S102:S132" si="27">R102*0.1</f>
        <v>32500</v>
      </c>
      <c r="T102" s="1">
        <v>0</v>
      </c>
      <c r="U102" s="1">
        <f t="shared" ref="U102:U132" si="28">T102*0.1</f>
        <v>0</v>
      </c>
      <c r="V102" s="10" t="s">
        <v>36</v>
      </c>
      <c r="W102" s="1" t="s">
        <v>230</v>
      </c>
      <c r="X102" s="14">
        <f t="shared" ref="X102:X132" si="29">G102-AA102</f>
        <v>121520</v>
      </c>
      <c r="Y102" s="14">
        <f t="shared" ref="Y102:Y132" si="30">X102-S102</f>
        <v>89020</v>
      </c>
      <c r="Z102" s="2">
        <f t="shared" ref="Z102:Z132" si="31">Y102/G102</f>
        <v>0.249006993006993</v>
      </c>
      <c r="AA102" s="19">
        <v>235980</v>
      </c>
      <c r="AB102" s="1">
        <f t="shared" ref="AB102:AB132" si="32">(AA102/1.1)-(G102/1.1)</f>
        <v>-110472.72727272729</v>
      </c>
      <c r="AC102" s="22">
        <f t="shared" ref="AC102:AC132" si="33">((G102/1.1) - (AA102/1.1)) / (G102/1.1) * 1</f>
        <v>0.33991608391608397</v>
      </c>
      <c r="AD102" s="23">
        <f t="shared" ref="AD102:AD132" si="34">(G102 - (G102 / 1.1)) - (AA102 - (AA102 / 1.1))</f>
        <v>11047.272727272706</v>
      </c>
    </row>
    <row r="103" spans="1:30" ht="21" customHeight="1">
      <c r="A103" s="26">
        <f t="shared" si="24"/>
        <v>103</v>
      </c>
      <c r="B103" s="13">
        <v>3</v>
      </c>
      <c r="C103" s="38">
        <v>12</v>
      </c>
      <c r="D103" s="27" t="s">
        <v>37</v>
      </c>
      <c r="E103" s="9" t="s">
        <v>349</v>
      </c>
      <c r="F103" s="10">
        <v>1</v>
      </c>
      <c r="G103" s="11">
        <f t="shared" si="25"/>
        <v>20900</v>
      </c>
      <c r="H103" s="31"/>
      <c r="I103" s="18"/>
      <c r="J103" s="95"/>
      <c r="K103" s="90"/>
      <c r="L103" s="12">
        <v>45728</v>
      </c>
      <c r="M103" s="12">
        <v>45728</v>
      </c>
      <c r="N103" s="1" t="s">
        <v>38</v>
      </c>
      <c r="O103" s="28" t="s">
        <v>39</v>
      </c>
      <c r="P103" s="1" t="s">
        <v>83</v>
      </c>
      <c r="Q103" s="10">
        <v>19000</v>
      </c>
      <c r="R103" s="13">
        <f t="shared" si="26"/>
        <v>19000</v>
      </c>
      <c r="S103" s="1">
        <f t="shared" si="27"/>
        <v>1900</v>
      </c>
      <c r="T103" s="1">
        <v>0</v>
      </c>
      <c r="U103" s="1">
        <f t="shared" si="28"/>
        <v>0</v>
      </c>
      <c r="V103" s="10" t="s">
        <v>36</v>
      </c>
      <c r="W103" s="1" t="s">
        <v>242</v>
      </c>
      <c r="X103" s="14">
        <f t="shared" si="29"/>
        <v>9900</v>
      </c>
      <c r="Y103" s="14">
        <f t="shared" si="30"/>
        <v>8000</v>
      </c>
      <c r="Z103" s="2">
        <f t="shared" si="31"/>
        <v>0.38277511961722488</v>
      </c>
      <c r="AA103" s="19">
        <v>11000</v>
      </c>
      <c r="AB103" s="1">
        <f t="shared" si="32"/>
        <v>-9000</v>
      </c>
      <c r="AC103" s="22">
        <f t="shared" si="33"/>
        <v>0.47368421052631576</v>
      </c>
      <c r="AD103" s="23">
        <f t="shared" si="34"/>
        <v>900</v>
      </c>
    </row>
    <row r="104" spans="1:30" ht="21" customHeight="1">
      <c r="A104" s="26">
        <f t="shared" si="24"/>
        <v>104</v>
      </c>
      <c r="B104" s="13">
        <v>3</v>
      </c>
      <c r="C104" s="38">
        <v>7</v>
      </c>
      <c r="D104" s="10" t="s">
        <v>70</v>
      </c>
      <c r="E104" s="9" t="s">
        <v>350</v>
      </c>
      <c r="F104" s="10">
        <v>1</v>
      </c>
      <c r="G104" s="11">
        <f t="shared" si="25"/>
        <v>55000</v>
      </c>
      <c r="H104" s="31"/>
      <c r="I104" s="18"/>
      <c r="J104" s="95">
        <v>45735</v>
      </c>
      <c r="K104" s="90"/>
      <c r="L104" s="12">
        <v>45728</v>
      </c>
      <c r="M104" s="12">
        <v>45728</v>
      </c>
      <c r="N104" s="1" t="s">
        <v>38</v>
      </c>
      <c r="O104" s="28" t="s">
        <v>39</v>
      </c>
      <c r="P104" s="1" t="s">
        <v>78</v>
      </c>
      <c r="Q104" s="10">
        <v>50000</v>
      </c>
      <c r="R104" s="13">
        <f t="shared" si="26"/>
        <v>50000</v>
      </c>
      <c r="S104" s="1">
        <f t="shared" si="27"/>
        <v>5000</v>
      </c>
      <c r="T104" s="1">
        <v>0</v>
      </c>
      <c r="U104" s="1">
        <f t="shared" si="28"/>
        <v>0</v>
      </c>
      <c r="V104" s="10" t="s">
        <v>41</v>
      </c>
      <c r="W104" s="1" t="s">
        <v>144</v>
      </c>
      <c r="X104" s="14">
        <f t="shared" si="29"/>
        <v>6190</v>
      </c>
      <c r="Y104" s="14">
        <f t="shared" si="30"/>
        <v>1190</v>
      </c>
      <c r="Z104" s="2">
        <f t="shared" si="31"/>
        <v>2.1636363636363638E-2</v>
      </c>
      <c r="AA104" s="19">
        <v>48810</v>
      </c>
      <c r="AB104" s="1">
        <f t="shared" si="32"/>
        <v>-5627.2727272727207</v>
      </c>
      <c r="AC104" s="22">
        <f t="shared" si="33"/>
        <v>0.11254545454545443</v>
      </c>
      <c r="AD104" s="23">
        <f t="shared" si="34"/>
        <v>562.72727272727934</v>
      </c>
    </row>
    <row r="105" spans="1:30" ht="21" customHeight="1">
      <c r="A105" s="26">
        <f t="shared" si="24"/>
        <v>105</v>
      </c>
      <c r="B105" s="13">
        <v>3</v>
      </c>
      <c r="C105" s="38">
        <v>7</v>
      </c>
      <c r="D105" s="10" t="s">
        <v>70</v>
      </c>
      <c r="E105" s="9" t="s">
        <v>350</v>
      </c>
      <c r="F105" s="10">
        <v>4</v>
      </c>
      <c r="G105" s="11">
        <f t="shared" si="25"/>
        <v>88000</v>
      </c>
      <c r="H105" s="31"/>
      <c r="I105" s="18"/>
      <c r="J105" s="95">
        <v>45735</v>
      </c>
      <c r="K105" s="90"/>
      <c r="L105" s="12">
        <v>45728</v>
      </c>
      <c r="M105" s="12">
        <v>45728</v>
      </c>
      <c r="N105" s="1" t="s">
        <v>79</v>
      </c>
      <c r="O105" s="28" t="s">
        <v>351</v>
      </c>
      <c r="P105" s="1" t="s">
        <v>81</v>
      </c>
      <c r="Q105" s="10">
        <v>20000</v>
      </c>
      <c r="R105" s="13">
        <f t="shared" si="26"/>
        <v>80000</v>
      </c>
      <c r="S105" s="1">
        <f t="shared" si="27"/>
        <v>8000</v>
      </c>
      <c r="T105" s="1">
        <v>0</v>
      </c>
      <c r="U105" s="1">
        <f t="shared" si="28"/>
        <v>0</v>
      </c>
      <c r="V105" s="10" t="s">
        <v>41</v>
      </c>
      <c r="W105" s="1" t="s">
        <v>144</v>
      </c>
      <c r="X105" s="14">
        <f t="shared" si="29"/>
        <v>68000</v>
      </c>
      <c r="Y105" s="14">
        <f t="shared" si="30"/>
        <v>60000</v>
      </c>
      <c r="Z105" s="2">
        <f t="shared" si="31"/>
        <v>0.68181818181818177</v>
      </c>
      <c r="AA105" s="19">
        <v>20000</v>
      </c>
      <c r="AB105" s="1">
        <f t="shared" si="32"/>
        <v>-61818.181818181823</v>
      </c>
      <c r="AC105" s="22">
        <f t="shared" si="33"/>
        <v>0.77272727272727282</v>
      </c>
      <c r="AD105" s="23">
        <f t="shared" si="34"/>
        <v>6181.8181818181802</v>
      </c>
    </row>
    <row r="106" spans="1:30" ht="21" customHeight="1">
      <c r="A106" s="26">
        <f t="shared" si="24"/>
        <v>106</v>
      </c>
      <c r="B106" s="13">
        <v>3</v>
      </c>
      <c r="C106" s="38">
        <v>7</v>
      </c>
      <c r="D106" s="10" t="s">
        <v>70</v>
      </c>
      <c r="E106" s="9" t="s">
        <v>350</v>
      </c>
      <c r="F106" s="10">
        <v>1</v>
      </c>
      <c r="G106" s="11">
        <f t="shared" si="25"/>
        <v>22000</v>
      </c>
      <c r="H106" s="31"/>
      <c r="I106" s="18"/>
      <c r="J106" s="95">
        <v>45735</v>
      </c>
      <c r="K106" s="90"/>
      <c r="L106" s="12">
        <v>45728</v>
      </c>
      <c r="M106" s="12">
        <v>45728</v>
      </c>
      <c r="N106" s="1" t="s">
        <v>262</v>
      </c>
      <c r="O106" s="28"/>
      <c r="P106" s="1"/>
      <c r="Q106" s="10">
        <v>20000</v>
      </c>
      <c r="R106" s="13">
        <f t="shared" si="26"/>
        <v>20000</v>
      </c>
      <c r="S106" s="1">
        <f t="shared" si="27"/>
        <v>2000</v>
      </c>
      <c r="T106" s="1">
        <v>0</v>
      </c>
      <c r="U106" s="1">
        <f t="shared" si="28"/>
        <v>0</v>
      </c>
      <c r="V106" s="10" t="s">
        <v>41</v>
      </c>
      <c r="W106" s="1" t="s">
        <v>144</v>
      </c>
      <c r="X106" s="14">
        <f t="shared" si="29"/>
        <v>22000</v>
      </c>
      <c r="Y106" s="14">
        <f t="shared" si="30"/>
        <v>20000</v>
      </c>
      <c r="Z106" s="2">
        <f t="shared" si="31"/>
        <v>0.90909090909090906</v>
      </c>
      <c r="AA106" s="19">
        <v>0</v>
      </c>
      <c r="AB106" s="1">
        <f t="shared" si="32"/>
        <v>-20000</v>
      </c>
      <c r="AC106" s="22">
        <f t="shared" si="33"/>
        <v>1</v>
      </c>
      <c r="AD106" s="23">
        <f t="shared" si="34"/>
        <v>2000</v>
      </c>
    </row>
    <row r="107" spans="1:30" ht="21" customHeight="1">
      <c r="A107" s="26">
        <f t="shared" si="24"/>
        <v>107</v>
      </c>
      <c r="B107" s="13">
        <v>3</v>
      </c>
      <c r="C107" s="38">
        <v>12</v>
      </c>
      <c r="D107" s="27" t="s">
        <v>37</v>
      </c>
      <c r="E107" s="9" t="s">
        <v>221</v>
      </c>
      <c r="F107" s="10">
        <v>2</v>
      </c>
      <c r="G107" s="11">
        <f t="shared" si="25"/>
        <v>55000</v>
      </c>
      <c r="H107" s="31"/>
      <c r="I107" s="18"/>
      <c r="J107" s="95">
        <v>45758</v>
      </c>
      <c r="K107" s="90"/>
      <c r="L107" s="12">
        <v>45728</v>
      </c>
      <c r="M107" s="12">
        <v>45728</v>
      </c>
      <c r="N107" s="1" t="s">
        <v>38</v>
      </c>
      <c r="O107" s="28"/>
      <c r="P107" s="1" t="s">
        <v>222</v>
      </c>
      <c r="Q107" s="10">
        <v>15000</v>
      </c>
      <c r="R107" s="13">
        <f t="shared" si="26"/>
        <v>30000</v>
      </c>
      <c r="S107" s="1">
        <f t="shared" si="27"/>
        <v>3000</v>
      </c>
      <c r="T107" s="1">
        <v>20000</v>
      </c>
      <c r="U107" s="1">
        <f t="shared" si="28"/>
        <v>2000</v>
      </c>
      <c r="V107" s="10" t="s">
        <v>41</v>
      </c>
      <c r="W107" s="1" t="s">
        <v>242</v>
      </c>
      <c r="X107" s="14">
        <f t="shared" si="29"/>
        <v>-7150</v>
      </c>
      <c r="Y107" s="14">
        <f t="shared" si="30"/>
        <v>-10150</v>
      </c>
      <c r="Z107" s="2">
        <f t="shared" si="31"/>
        <v>-0.18454545454545454</v>
      </c>
      <c r="AA107" s="19">
        <v>62150</v>
      </c>
      <c r="AB107" s="1">
        <f t="shared" si="32"/>
        <v>6500</v>
      </c>
      <c r="AC107" s="22">
        <f t="shared" si="33"/>
        <v>-0.13000000000000003</v>
      </c>
      <c r="AD107" s="23">
        <f t="shared" si="34"/>
        <v>-650</v>
      </c>
    </row>
    <row r="108" spans="1:30" ht="21" customHeight="1">
      <c r="A108" s="26">
        <f t="shared" si="24"/>
        <v>108</v>
      </c>
      <c r="B108" s="13">
        <v>3</v>
      </c>
      <c r="C108" s="38">
        <v>12</v>
      </c>
      <c r="D108" s="27" t="s">
        <v>37</v>
      </c>
      <c r="E108" s="9" t="s">
        <v>221</v>
      </c>
      <c r="F108" s="10">
        <v>2</v>
      </c>
      <c r="G108" s="11">
        <f t="shared" si="25"/>
        <v>33000</v>
      </c>
      <c r="H108" s="31"/>
      <c r="I108" s="18"/>
      <c r="J108" s="95">
        <v>45758</v>
      </c>
      <c r="K108" s="90"/>
      <c r="L108" s="12">
        <v>45728</v>
      </c>
      <c r="M108" s="12">
        <v>45728</v>
      </c>
      <c r="N108" s="1" t="s">
        <v>38</v>
      </c>
      <c r="O108" s="28"/>
      <c r="P108" s="1" t="s">
        <v>64</v>
      </c>
      <c r="Q108" s="10">
        <v>15000</v>
      </c>
      <c r="R108" s="13">
        <f t="shared" si="26"/>
        <v>30000</v>
      </c>
      <c r="S108" s="1">
        <f t="shared" si="27"/>
        <v>3000</v>
      </c>
      <c r="T108" s="1">
        <v>0</v>
      </c>
      <c r="U108" s="1">
        <f t="shared" si="28"/>
        <v>0</v>
      </c>
      <c r="V108" s="10" t="s">
        <v>41</v>
      </c>
      <c r="W108" s="1" t="s">
        <v>242</v>
      </c>
      <c r="X108" s="14">
        <f t="shared" si="29"/>
        <v>33000</v>
      </c>
      <c r="Y108" s="14">
        <f t="shared" si="30"/>
        <v>30000</v>
      </c>
      <c r="Z108" s="2">
        <f t="shared" si="31"/>
        <v>0.90909090909090906</v>
      </c>
      <c r="AA108" s="19">
        <v>0</v>
      </c>
      <c r="AB108" s="1">
        <f t="shared" si="32"/>
        <v>-29999.999999999996</v>
      </c>
      <c r="AC108" s="22">
        <f t="shared" si="33"/>
        <v>1</v>
      </c>
      <c r="AD108" s="23">
        <f t="shared" si="34"/>
        <v>3000.0000000000036</v>
      </c>
    </row>
    <row r="109" spans="1:30" ht="21" customHeight="1">
      <c r="A109" s="26">
        <f t="shared" si="24"/>
        <v>109</v>
      </c>
      <c r="B109" s="13">
        <v>3</v>
      </c>
      <c r="C109" s="38">
        <v>12</v>
      </c>
      <c r="D109" s="27" t="s">
        <v>37</v>
      </c>
      <c r="E109" s="9" t="s">
        <v>221</v>
      </c>
      <c r="F109" s="10">
        <v>2</v>
      </c>
      <c r="G109" s="11">
        <f t="shared" si="25"/>
        <v>33000</v>
      </c>
      <c r="H109" s="31"/>
      <c r="I109" s="18"/>
      <c r="J109" s="95">
        <v>45758</v>
      </c>
      <c r="K109" s="90"/>
      <c r="L109" s="12">
        <v>45728</v>
      </c>
      <c r="M109" s="12">
        <v>45728</v>
      </c>
      <c r="N109" s="1" t="s">
        <v>38</v>
      </c>
      <c r="O109" s="28"/>
      <c r="P109" s="1" t="s">
        <v>83</v>
      </c>
      <c r="Q109" s="10">
        <v>15000</v>
      </c>
      <c r="R109" s="13">
        <f t="shared" si="26"/>
        <v>30000</v>
      </c>
      <c r="S109" s="1">
        <f t="shared" si="27"/>
        <v>3000</v>
      </c>
      <c r="T109" s="1">
        <v>0</v>
      </c>
      <c r="U109" s="1">
        <f t="shared" si="28"/>
        <v>0</v>
      </c>
      <c r="V109" s="10" t="s">
        <v>41</v>
      </c>
      <c r="W109" s="1" t="s">
        <v>242</v>
      </c>
      <c r="X109" s="14">
        <f t="shared" si="29"/>
        <v>33000</v>
      </c>
      <c r="Y109" s="14">
        <f t="shared" si="30"/>
        <v>30000</v>
      </c>
      <c r="Z109" s="2">
        <f t="shared" si="31"/>
        <v>0.90909090909090906</v>
      </c>
      <c r="AA109" s="19">
        <v>0</v>
      </c>
      <c r="AB109" s="1">
        <f t="shared" si="32"/>
        <v>-29999.999999999996</v>
      </c>
      <c r="AC109" s="22">
        <f t="shared" si="33"/>
        <v>1</v>
      </c>
      <c r="AD109" s="23">
        <f t="shared" si="34"/>
        <v>3000.0000000000036</v>
      </c>
    </row>
    <row r="110" spans="1:30" ht="21" customHeight="1">
      <c r="A110" s="26">
        <f t="shared" si="24"/>
        <v>110</v>
      </c>
      <c r="B110" s="13">
        <v>3</v>
      </c>
      <c r="C110" s="38">
        <v>12</v>
      </c>
      <c r="D110" s="27" t="s">
        <v>37</v>
      </c>
      <c r="E110" s="9" t="s">
        <v>221</v>
      </c>
      <c r="F110" s="10">
        <v>1</v>
      </c>
      <c r="G110" s="11">
        <f t="shared" si="25"/>
        <v>16500</v>
      </c>
      <c r="H110" s="31"/>
      <c r="I110" s="18"/>
      <c r="J110" s="95">
        <v>45758</v>
      </c>
      <c r="K110" s="90"/>
      <c r="L110" s="12">
        <v>45728</v>
      </c>
      <c r="M110" s="12">
        <v>45728</v>
      </c>
      <c r="N110" s="1" t="s">
        <v>38</v>
      </c>
      <c r="O110" s="28"/>
      <c r="P110" s="1" t="s">
        <v>223</v>
      </c>
      <c r="Q110" s="10">
        <v>15000</v>
      </c>
      <c r="R110" s="13">
        <f t="shared" si="26"/>
        <v>15000</v>
      </c>
      <c r="S110" s="1">
        <f t="shared" si="27"/>
        <v>1500</v>
      </c>
      <c r="T110" s="1">
        <v>0</v>
      </c>
      <c r="U110" s="1">
        <f t="shared" si="28"/>
        <v>0</v>
      </c>
      <c r="V110" s="10" t="s">
        <v>41</v>
      </c>
      <c r="W110" s="1" t="s">
        <v>242</v>
      </c>
      <c r="X110" s="14">
        <f t="shared" si="29"/>
        <v>16500</v>
      </c>
      <c r="Y110" s="14">
        <f t="shared" si="30"/>
        <v>15000</v>
      </c>
      <c r="Z110" s="2">
        <f t="shared" si="31"/>
        <v>0.90909090909090906</v>
      </c>
      <c r="AA110" s="19">
        <v>0</v>
      </c>
      <c r="AB110" s="1">
        <f t="shared" si="32"/>
        <v>-14999.999999999998</v>
      </c>
      <c r="AC110" s="22">
        <f t="shared" si="33"/>
        <v>1</v>
      </c>
      <c r="AD110" s="23">
        <f t="shared" si="34"/>
        <v>1500.0000000000018</v>
      </c>
    </row>
    <row r="111" spans="1:30" ht="21" customHeight="1">
      <c r="A111" s="26">
        <f t="shared" si="24"/>
        <v>111</v>
      </c>
      <c r="B111" s="13">
        <v>3</v>
      </c>
      <c r="C111" s="38">
        <v>12</v>
      </c>
      <c r="D111" s="10" t="s">
        <v>47</v>
      </c>
      <c r="E111" s="9" t="s">
        <v>148</v>
      </c>
      <c r="F111" s="10">
        <v>3</v>
      </c>
      <c r="G111" s="11">
        <f t="shared" si="25"/>
        <v>79200</v>
      </c>
      <c r="H111" s="31"/>
      <c r="I111" s="18"/>
      <c r="J111" s="95">
        <v>45730</v>
      </c>
      <c r="K111" s="90"/>
      <c r="L111" s="12">
        <v>45728</v>
      </c>
      <c r="M111" s="12">
        <v>45728</v>
      </c>
      <c r="N111" s="1" t="s">
        <v>38</v>
      </c>
      <c r="O111" s="28"/>
      <c r="P111" s="1" t="s">
        <v>94</v>
      </c>
      <c r="Q111" s="10">
        <v>24000</v>
      </c>
      <c r="R111" s="13">
        <f t="shared" si="26"/>
        <v>72000</v>
      </c>
      <c r="S111" s="1">
        <f t="shared" si="27"/>
        <v>7200</v>
      </c>
      <c r="T111" s="1">
        <v>0</v>
      </c>
      <c r="U111" s="1">
        <f t="shared" si="28"/>
        <v>0</v>
      </c>
      <c r="V111" s="10" t="s">
        <v>50</v>
      </c>
      <c r="W111" s="1" t="s">
        <v>95</v>
      </c>
      <c r="X111" s="14">
        <f t="shared" si="29"/>
        <v>25020</v>
      </c>
      <c r="Y111" s="14">
        <f t="shared" si="30"/>
        <v>17820</v>
      </c>
      <c r="Z111" s="2">
        <f t="shared" si="31"/>
        <v>0.22500000000000001</v>
      </c>
      <c r="AA111" s="19">
        <v>54180</v>
      </c>
      <c r="AB111" s="1">
        <f t="shared" si="32"/>
        <v>-22745.454545454551</v>
      </c>
      <c r="AC111" s="22">
        <f t="shared" si="33"/>
        <v>0.31590909090909097</v>
      </c>
      <c r="AD111" s="23">
        <f t="shared" si="34"/>
        <v>2274.5454545454486</v>
      </c>
    </row>
    <row r="112" spans="1:30" ht="21" customHeight="1">
      <c r="A112" s="26">
        <f t="shared" si="24"/>
        <v>112</v>
      </c>
      <c r="B112" s="13">
        <v>3</v>
      </c>
      <c r="C112" s="38">
        <v>12</v>
      </c>
      <c r="D112" s="27" t="s">
        <v>37</v>
      </c>
      <c r="E112" s="9" t="s">
        <v>352</v>
      </c>
      <c r="F112" s="10">
        <v>9</v>
      </c>
      <c r="G112" s="11">
        <f t="shared" si="25"/>
        <v>148500</v>
      </c>
      <c r="H112" s="31"/>
      <c r="I112" s="18"/>
      <c r="J112" s="95">
        <v>45751</v>
      </c>
      <c r="K112" s="90"/>
      <c r="L112" s="12">
        <v>45728</v>
      </c>
      <c r="M112" s="12">
        <v>45743</v>
      </c>
      <c r="N112" s="1" t="s">
        <v>38</v>
      </c>
      <c r="O112" s="28"/>
      <c r="P112" s="1" t="s">
        <v>83</v>
      </c>
      <c r="Q112" s="10">
        <v>15000</v>
      </c>
      <c r="R112" s="13">
        <f t="shared" si="26"/>
        <v>135000</v>
      </c>
      <c r="S112" s="1">
        <f t="shared" si="27"/>
        <v>13500</v>
      </c>
      <c r="T112" s="1">
        <v>0</v>
      </c>
      <c r="U112" s="1">
        <f t="shared" si="28"/>
        <v>0</v>
      </c>
      <c r="V112" s="10" t="s">
        <v>41</v>
      </c>
      <c r="W112" s="1" t="s">
        <v>183</v>
      </c>
      <c r="X112" s="14">
        <f t="shared" si="29"/>
        <v>79200</v>
      </c>
      <c r="Y112" s="14">
        <f t="shared" si="30"/>
        <v>65700</v>
      </c>
      <c r="Z112" s="2">
        <f t="shared" si="31"/>
        <v>0.44242424242424244</v>
      </c>
      <c r="AA112" s="19">
        <v>69300</v>
      </c>
      <c r="AB112" s="1">
        <f t="shared" si="32"/>
        <v>-72000</v>
      </c>
      <c r="AC112" s="22">
        <f t="shared" si="33"/>
        <v>0.53333333333333333</v>
      </c>
      <c r="AD112" s="23">
        <f t="shared" si="34"/>
        <v>7199.9999999999927</v>
      </c>
    </row>
    <row r="113" spans="1:30" ht="21" customHeight="1">
      <c r="A113" s="26">
        <f t="shared" si="24"/>
        <v>113</v>
      </c>
      <c r="B113" s="13">
        <v>3</v>
      </c>
      <c r="C113" s="38">
        <v>12</v>
      </c>
      <c r="D113" s="27" t="s">
        <v>37</v>
      </c>
      <c r="E113" s="9" t="s">
        <v>353</v>
      </c>
      <c r="F113" s="10">
        <v>3</v>
      </c>
      <c r="G113" s="11">
        <f t="shared" si="25"/>
        <v>89100</v>
      </c>
      <c r="H113" s="31"/>
      <c r="I113" s="18"/>
      <c r="J113" s="95">
        <v>45737</v>
      </c>
      <c r="K113" s="90"/>
      <c r="L113" s="12">
        <v>45735</v>
      </c>
      <c r="M113" s="12">
        <v>45735</v>
      </c>
      <c r="N113" s="1" t="s">
        <v>38</v>
      </c>
      <c r="O113" s="28" t="s">
        <v>354</v>
      </c>
      <c r="P113" s="1" t="s">
        <v>355</v>
      </c>
      <c r="Q113" s="10">
        <v>27000</v>
      </c>
      <c r="R113" s="13">
        <f t="shared" si="26"/>
        <v>81000</v>
      </c>
      <c r="S113" s="1">
        <f t="shared" si="27"/>
        <v>8100</v>
      </c>
      <c r="T113" s="1">
        <v>0</v>
      </c>
      <c r="U113" s="1">
        <f t="shared" si="28"/>
        <v>0</v>
      </c>
      <c r="V113" s="10" t="s">
        <v>41</v>
      </c>
      <c r="W113" s="1" t="s">
        <v>183</v>
      </c>
      <c r="X113" s="14">
        <f t="shared" si="29"/>
        <v>-9350</v>
      </c>
      <c r="Y113" s="14">
        <f t="shared" si="30"/>
        <v>-17450</v>
      </c>
      <c r="Z113" s="2">
        <f t="shared" si="31"/>
        <v>-0.19584736251402918</v>
      </c>
      <c r="AA113" s="19">
        <v>98450</v>
      </c>
      <c r="AB113" s="1">
        <f t="shared" si="32"/>
        <v>8500</v>
      </c>
      <c r="AC113" s="22">
        <f t="shared" si="33"/>
        <v>-0.10493827160493827</v>
      </c>
      <c r="AD113" s="23">
        <f t="shared" si="34"/>
        <v>-850</v>
      </c>
    </row>
    <row r="114" spans="1:30" ht="21" customHeight="1">
      <c r="A114" s="26">
        <f t="shared" si="24"/>
        <v>114</v>
      </c>
      <c r="B114" s="13">
        <v>3</v>
      </c>
      <c r="C114" s="38">
        <v>12</v>
      </c>
      <c r="D114" s="27" t="s">
        <v>37</v>
      </c>
      <c r="E114" s="9" t="s">
        <v>353</v>
      </c>
      <c r="F114" s="10">
        <v>3</v>
      </c>
      <c r="G114" s="11">
        <f t="shared" si="25"/>
        <v>79200</v>
      </c>
      <c r="H114" s="31"/>
      <c r="I114" s="18"/>
      <c r="J114" s="95">
        <v>45737</v>
      </c>
      <c r="K114" s="90"/>
      <c r="L114" s="12">
        <v>45735</v>
      </c>
      <c r="M114" s="12">
        <v>45735</v>
      </c>
      <c r="N114" s="1" t="s">
        <v>38</v>
      </c>
      <c r="O114" s="28" t="s">
        <v>354</v>
      </c>
      <c r="P114" s="1" t="s">
        <v>356</v>
      </c>
      <c r="Q114" s="10">
        <v>22000</v>
      </c>
      <c r="R114" s="13">
        <f t="shared" si="26"/>
        <v>66000</v>
      </c>
      <c r="S114" s="1">
        <f t="shared" si="27"/>
        <v>6600</v>
      </c>
      <c r="T114" s="1">
        <v>6000</v>
      </c>
      <c r="U114" s="1">
        <f t="shared" si="28"/>
        <v>600</v>
      </c>
      <c r="V114" s="10" t="s">
        <v>41</v>
      </c>
      <c r="W114" s="1" t="s">
        <v>183</v>
      </c>
      <c r="X114" s="14">
        <f t="shared" si="29"/>
        <v>79200</v>
      </c>
      <c r="Y114" s="14">
        <f t="shared" si="30"/>
        <v>72600</v>
      </c>
      <c r="Z114" s="2">
        <f t="shared" si="31"/>
        <v>0.91666666666666663</v>
      </c>
      <c r="AA114" s="19">
        <v>0</v>
      </c>
      <c r="AB114" s="1">
        <f t="shared" si="32"/>
        <v>-72000</v>
      </c>
      <c r="AC114" s="22">
        <f t="shared" si="33"/>
        <v>1</v>
      </c>
      <c r="AD114" s="23">
        <f t="shared" si="34"/>
        <v>7200</v>
      </c>
    </row>
    <row r="115" spans="1:30" ht="21" customHeight="1">
      <c r="A115" s="26">
        <f t="shared" si="24"/>
        <v>115</v>
      </c>
      <c r="B115" s="13">
        <v>3</v>
      </c>
      <c r="C115" s="38">
        <v>12</v>
      </c>
      <c r="D115" s="27" t="s">
        <v>37</v>
      </c>
      <c r="E115" s="9" t="s">
        <v>357</v>
      </c>
      <c r="F115" s="10">
        <v>1</v>
      </c>
      <c r="G115" s="11">
        <f t="shared" si="25"/>
        <v>18700</v>
      </c>
      <c r="H115" s="31"/>
      <c r="I115" s="18"/>
      <c r="J115" s="95">
        <v>45735</v>
      </c>
      <c r="K115" s="90"/>
      <c r="L115" s="12">
        <v>45735</v>
      </c>
      <c r="M115" s="12">
        <v>45735</v>
      </c>
      <c r="N115" s="1" t="s">
        <v>45</v>
      </c>
      <c r="O115" s="28" t="s">
        <v>122</v>
      </c>
      <c r="P115" s="1" t="s">
        <v>35</v>
      </c>
      <c r="Q115" s="10">
        <v>17000</v>
      </c>
      <c r="R115" s="13">
        <f t="shared" si="26"/>
        <v>17000</v>
      </c>
      <c r="S115" s="1">
        <f t="shared" si="27"/>
        <v>1700</v>
      </c>
      <c r="T115" s="1">
        <v>0</v>
      </c>
      <c r="U115" s="1">
        <f t="shared" si="28"/>
        <v>0</v>
      </c>
      <c r="V115" s="10" t="s">
        <v>41</v>
      </c>
      <c r="W115" s="1" t="s">
        <v>358</v>
      </c>
      <c r="X115" s="14">
        <f t="shared" si="29"/>
        <v>6410</v>
      </c>
      <c r="Y115" s="14">
        <f t="shared" si="30"/>
        <v>4710</v>
      </c>
      <c r="Z115" s="2">
        <f t="shared" si="31"/>
        <v>0.25187165775401071</v>
      </c>
      <c r="AA115" s="19">
        <v>12290</v>
      </c>
      <c r="AB115" s="1">
        <f t="shared" si="32"/>
        <v>-5827.2727272727279</v>
      </c>
      <c r="AC115" s="22">
        <f t="shared" si="33"/>
        <v>0.34278074866310165</v>
      </c>
      <c r="AD115" s="23">
        <f t="shared" si="34"/>
        <v>582.72727272727207</v>
      </c>
    </row>
    <row r="116" spans="1:30" ht="21" customHeight="1">
      <c r="A116" s="26">
        <f t="shared" si="24"/>
        <v>116</v>
      </c>
      <c r="B116" s="13">
        <v>3</v>
      </c>
      <c r="C116" s="38">
        <v>12</v>
      </c>
      <c r="D116" s="10" t="s">
        <v>70</v>
      </c>
      <c r="E116" s="9" t="s">
        <v>359</v>
      </c>
      <c r="F116" s="10">
        <v>2</v>
      </c>
      <c r="G116" s="11">
        <f t="shared" si="25"/>
        <v>26400</v>
      </c>
      <c r="H116" s="31"/>
      <c r="I116" s="18"/>
      <c r="J116" s="95">
        <v>45737</v>
      </c>
      <c r="K116" s="90"/>
      <c r="L116" s="12">
        <v>45740</v>
      </c>
      <c r="M116" s="12">
        <v>45735</v>
      </c>
      <c r="N116" s="1" t="s">
        <v>45</v>
      </c>
      <c r="O116" s="28" t="s">
        <v>53</v>
      </c>
      <c r="P116" s="1" t="s">
        <v>35</v>
      </c>
      <c r="Q116" s="10">
        <v>12000</v>
      </c>
      <c r="R116" s="13">
        <f t="shared" si="26"/>
        <v>24000</v>
      </c>
      <c r="S116" s="1">
        <f t="shared" si="27"/>
        <v>2400</v>
      </c>
      <c r="T116" s="1">
        <v>0</v>
      </c>
      <c r="U116" s="1">
        <f t="shared" si="28"/>
        <v>0</v>
      </c>
      <c r="V116" s="10" t="s">
        <v>41</v>
      </c>
      <c r="W116" s="1" t="s">
        <v>208</v>
      </c>
      <c r="X116" s="14">
        <f t="shared" si="29"/>
        <v>16310</v>
      </c>
      <c r="Y116" s="14">
        <f t="shared" si="30"/>
        <v>13910</v>
      </c>
      <c r="Z116" s="2">
        <f t="shared" si="31"/>
        <v>0.52689393939393936</v>
      </c>
      <c r="AA116" s="19">
        <v>10090</v>
      </c>
      <c r="AB116" s="1">
        <f t="shared" si="32"/>
        <v>-14827.272727272724</v>
      </c>
      <c r="AC116" s="22">
        <f t="shared" si="33"/>
        <v>0.6178030303030303</v>
      </c>
      <c r="AD116" s="23">
        <f t="shared" si="34"/>
        <v>1482.7272727272757</v>
      </c>
    </row>
    <row r="117" spans="1:30" ht="21" customHeight="1">
      <c r="A117" s="26">
        <f t="shared" si="24"/>
        <v>117</v>
      </c>
      <c r="B117" s="13">
        <v>3</v>
      </c>
      <c r="C117" s="38">
        <v>19</v>
      </c>
      <c r="D117" s="10" t="s">
        <v>70</v>
      </c>
      <c r="E117" s="9" t="s">
        <v>360</v>
      </c>
      <c r="F117" s="10">
        <v>1</v>
      </c>
      <c r="G117" s="11">
        <f t="shared" si="25"/>
        <v>52800</v>
      </c>
      <c r="H117" s="31"/>
      <c r="I117" s="1"/>
      <c r="J117" s="96"/>
      <c r="K117" s="90"/>
      <c r="L117" s="12">
        <v>45735</v>
      </c>
      <c r="M117" s="12">
        <v>45735</v>
      </c>
      <c r="N117" s="1" t="s">
        <v>361</v>
      </c>
      <c r="O117" s="28" t="s">
        <v>362</v>
      </c>
      <c r="P117" s="1" t="s">
        <v>72</v>
      </c>
      <c r="Q117" s="10">
        <v>48000</v>
      </c>
      <c r="R117" s="13">
        <f t="shared" si="26"/>
        <v>48000</v>
      </c>
      <c r="S117" s="1">
        <f t="shared" si="27"/>
        <v>4800</v>
      </c>
      <c r="T117" s="1">
        <v>0</v>
      </c>
      <c r="U117" s="1">
        <f t="shared" si="28"/>
        <v>0</v>
      </c>
      <c r="V117" s="10" t="s">
        <v>41</v>
      </c>
      <c r="W117" s="1" t="s">
        <v>71</v>
      </c>
      <c r="X117" s="14">
        <f t="shared" si="29"/>
        <v>16800</v>
      </c>
      <c r="Y117" s="14">
        <f t="shared" si="30"/>
        <v>12000</v>
      </c>
      <c r="Z117" s="2">
        <f t="shared" si="31"/>
        <v>0.22727272727272727</v>
      </c>
      <c r="AA117" s="19">
        <v>36000</v>
      </c>
      <c r="AB117" s="1">
        <f t="shared" si="32"/>
        <v>-15272.727272727268</v>
      </c>
      <c r="AC117" s="22">
        <f t="shared" si="33"/>
        <v>0.31818181818181812</v>
      </c>
      <c r="AD117" s="23">
        <f t="shared" si="34"/>
        <v>1527.2727272727316</v>
      </c>
    </row>
    <row r="118" spans="1:30" ht="21" customHeight="1">
      <c r="A118" s="26">
        <f t="shared" si="24"/>
        <v>118</v>
      </c>
      <c r="B118" s="13">
        <v>3</v>
      </c>
      <c r="C118" s="38">
        <v>19</v>
      </c>
      <c r="D118" s="10" t="s">
        <v>162</v>
      </c>
      <c r="E118" s="9" t="s">
        <v>174</v>
      </c>
      <c r="F118" s="10">
        <v>1</v>
      </c>
      <c r="G118" s="11">
        <f t="shared" si="25"/>
        <v>77000</v>
      </c>
      <c r="H118" s="31"/>
      <c r="I118" s="18"/>
      <c r="J118" s="95">
        <v>45730</v>
      </c>
      <c r="K118" s="90"/>
      <c r="L118" s="12">
        <v>45735</v>
      </c>
      <c r="M118" s="25" t="s">
        <v>57</v>
      </c>
      <c r="N118" s="1" t="s">
        <v>174</v>
      </c>
      <c r="O118" s="28"/>
      <c r="P118" s="1"/>
      <c r="Q118" s="10">
        <v>70000</v>
      </c>
      <c r="R118" s="13">
        <f t="shared" si="26"/>
        <v>70000</v>
      </c>
      <c r="S118" s="1">
        <f t="shared" si="27"/>
        <v>7000</v>
      </c>
      <c r="T118" s="1">
        <v>0</v>
      </c>
      <c r="U118" s="1">
        <f t="shared" si="28"/>
        <v>0</v>
      </c>
      <c r="V118" s="10" t="s">
        <v>41</v>
      </c>
      <c r="W118" s="1" t="s">
        <v>162</v>
      </c>
      <c r="X118" s="14">
        <f t="shared" si="29"/>
        <v>43200</v>
      </c>
      <c r="Y118" s="14">
        <f t="shared" si="30"/>
        <v>36200</v>
      </c>
      <c r="Z118" s="2">
        <f t="shared" si="31"/>
        <v>0.47012987012987012</v>
      </c>
      <c r="AA118" s="19">
        <v>33800</v>
      </c>
      <c r="AB118" s="1">
        <f t="shared" si="32"/>
        <v>-39272.727272727279</v>
      </c>
      <c r="AC118" s="22">
        <f t="shared" si="33"/>
        <v>0.56103896103896111</v>
      </c>
      <c r="AD118" s="23">
        <f t="shared" si="34"/>
        <v>3927.2727272727243</v>
      </c>
    </row>
    <row r="119" spans="1:30" ht="21" customHeight="1">
      <c r="A119" s="26">
        <f t="shared" si="24"/>
        <v>119</v>
      </c>
      <c r="B119" s="13">
        <v>3</v>
      </c>
      <c r="C119" s="38">
        <v>19</v>
      </c>
      <c r="D119" s="10" t="s">
        <v>162</v>
      </c>
      <c r="E119" s="9" t="s">
        <v>363</v>
      </c>
      <c r="F119" s="10">
        <v>4</v>
      </c>
      <c r="G119" s="11">
        <f t="shared" si="25"/>
        <v>44000</v>
      </c>
      <c r="H119" s="31"/>
      <c r="I119" s="18"/>
      <c r="J119" s="95">
        <v>45730</v>
      </c>
      <c r="K119" s="90"/>
      <c r="L119" s="12">
        <v>45735</v>
      </c>
      <c r="M119" s="25" t="s">
        <v>57</v>
      </c>
      <c r="N119" s="1" t="s">
        <v>45</v>
      </c>
      <c r="O119" s="28" t="s">
        <v>364</v>
      </c>
      <c r="P119" s="1" t="s">
        <v>35</v>
      </c>
      <c r="Q119" s="10">
        <v>10000</v>
      </c>
      <c r="R119" s="13">
        <f t="shared" si="26"/>
        <v>40000</v>
      </c>
      <c r="S119" s="1">
        <f t="shared" si="27"/>
        <v>4000</v>
      </c>
      <c r="T119" s="1">
        <v>0</v>
      </c>
      <c r="U119" s="1">
        <f t="shared" si="28"/>
        <v>0</v>
      </c>
      <c r="V119" s="10" t="s">
        <v>41</v>
      </c>
      <c r="W119" s="1" t="s">
        <v>162</v>
      </c>
      <c r="X119" s="14">
        <f t="shared" si="29"/>
        <v>25220</v>
      </c>
      <c r="Y119" s="14">
        <f t="shared" si="30"/>
        <v>21220</v>
      </c>
      <c r="Z119" s="2">
        <f t="shared" si="31"/>
        <v>0.4822727272727273</v>
      </c>
      <c r="AA119" s="19">
        <v>18780</v>
      </c>
      <c r="AB119" s="1">
        <f t="shared" si="32"/>
        <v>-22927.272727272728</v>
      </c>
      <c r="AC119" s="22">
        <f t="shared" si="33"/>
        <v>0.57318181818181824</v>
      </c>
      <c r="AD119" s="23">
        <f t="shared" si="34"/>
        <v>2292.7272727272721</v>
      </c>
    </row>
    <row r="120" spans="1:30" ht="21" customHeight="1">
      <c r="A120" s="26">
        <f t="shared" si="24"/>
        <v>120</v>
      </c>
      <c r="B120" s="13">
        <v>3</v>
      </c>
      <c r="C120" s="38">
        <v>20</v>
      </c>
      <c r="D120" s="10" t="s">
        <v>47</v>
      </c>
      <c r="E120" s="9" t="s">
        <v>365</v>
      </c>
      <c r="F120" s="10">
        <v>10000</v>
      </c>
      <c r="G120" s="11">
        <f t="shared" si="25"/>
        <v>462000</v>
      </c>
      <c r="H120" s="31"/>
      <c r="I120" s="18"/>
      <c r="J120" s="95">
        <v>45743</v>
      </c>
      <c r="K120" s="90"/>
      <c r="L120" s="12">
        <v>45740</v>
      </c>
      <c r="M120" s="12">
        <v>45736</v>
      </c>
      <c r="N120" s="1" t="s">
        <v>179</v>
      </c>
      <c r="O120" s="28" t="s">
        <v>366</v>
      </c>
      <c r="P120" s="1" t="s">
        <v>210</v>
      </c>
      <c r="Q120" s="10">
        <v>42</v>
      </c>
      <c r="R120" s="13">
        <f t="shared" si="26"/>
        <v>420000</v>
      </c>
      <c r="S120" s="1">
        <f t="shared" si="27"/>
        <v>42000</v>
      </c>
      <c r="T120" s="1">
        <v>0</v>
      </c>
      <c r="U120" s="1">
        <f t="shared" si="28"/>
        <v>0</v>
      </c>
      <c r="V120" s="10" t="s">
        <v>41</v>
      </c>
      <c r="W120" s="1" t="s">
        <v>367</v>
      </c>
      <c r="X120" s="14">
        <f t="shared" si="29"/>
        <v>224650</v>
      </c>
      <c r="Y120" s="14">
        <f t="shared" si="30"/>
        <v>182650</v>
      </c>
      <c r="Z120" s="2">
        <f t="shared" si="31"/>
        <v>0.39534632034632033</v>
      </c>
      <c r="AA120" s="19">
        <v>237350</v>
      </c>
      <c r="AB120" s="1">
        <f t="shared" si="32"/>
        <v>-204227.27272727268</v>
      </c>
      <c r="AC120" s="22">
        <f t="shared" si="33"/>
        <v>0.48625541125541122</v>
      </c>
      <c r="AD120" s="23">
        <f t="shared" si="34"/>
        <v>20422.727272727323</v>
      </c>
    </row>
    <row r="121" spans="1:30" ht="21" customHeight="1">
      <c r="A121" s="26">
        <f t="shared" si="24"/>
        <v>121</v>
      </c>
      <c r="B121" s="13">
        <v>3</v>
      </c>
      <c r="C121" s="38">
        <v>20</v>
      </c>
      <c r="D121" s="10" t="s">
        <v>162</v>
      </c>
      <c r="E121" s="9" t="s">
        <v>368</v>
      </c>
      <c r="F121" s="10">
        <v>4</v>
      </c>
      <c r="G121" s="11">
        <f t="shared" si="25"/>
        <v>44000</v>
      </c>
      <c r="H121" s="31"/>
      <c r="I121" s="18"/>
      <c r="J121" s="95">
        <v>45736</v>
      </c>
      <c r="K121" s="90"/>
      <c r="L121" s="12">
        <v>45740</v>
      </c>
      <c r="M121" s="25" t="s">
        <v>57</v>
      </c>
      <c r="N121" s="1" t="s">
        <v>45</v>
      </c>
      <c r="O121" s="28" t="s">
        <v>113</v>
      </c>
      <c r="P121" s="1" t="s">
        <v>35</v>
      </c>
      <c r="Q121" s="10">
        <v>10000</v>
      </c>
      <c r="R121" s="13">
        <f t="shared" si="26"/>
        <v>40000</v>
      </c>
      <c r="S121" s="1">
        <f t="shared" si="27"/>
        <v>4000</v>
      </c>
      <c r="T121" s="1">
        <v>0</v>
      </c>
      <c r="U121" s="1">
        <f t="shared" si="28"/>
        <v>0</v>
      </c>
      <c r="V121" s="10" t="s">
        <v>36</v>
      </c>
      <c r="W121" s="1" t="s">
        <v>162</v>
      </c>
      <c r="X121" s="14">
        <f t="shared" si="29"/>
        <v>33910</v>
      </c>
      <c r="Y121" s="14">
        <f t="shared" si="30"/>
        <v>29910</v>
      </c>
      <c r="Z121" s="2">
        <f t="shared" si="31"/>
        <v>0.67977272727272731</v>
      </c>
      <c r="AA121" s="19">
        <v>10090</v>
      </c>
      <c r="AB121" s="1">
        <f t="shared" si="32"/>
        <v>-30827.272727272728</v>
      </c>
      <c r="AC121" s="22">
        <f t="shared" si="33"/>
        <v>0.77068181818181825</v>
      </c>
      <c r="AD121" s="23">
        <f t="shared" si="34"/>
        <v>3082.7272727272721</v>
      </c>
    </row>
    <row r="122" spans="1:30" ht="21" customHeight="1">
      <c r="A122" s="26">
        <f t="shared" si="24"/>
        <v>122</v>
      </c>
      <c r="B122" s="13">
        <v>3</v>
      </c>
      <c r="C122" s="38">
        <v>20</v>
      </c>
      <c r="D122" s="27" t="s">
        <v>37</v>
      </c>
      <c r="E122" s="9" t="s">
        <v>369</v>
      </c>
      <c r="F122" s="10">
        <v>15</v>
      </c>
      <c r="G122" s="11">
        <f t="shared" si="25"/>
        <v>269500</v>
      </c>
      <c r="H122" s="31"/>
      <c r="I122" s="18"/>
      <c r="J122" s="95">
        <v>45720</v>
      </c>
      <c r="K122" s="90"/>
      <c r="L122" s="12">
        <v>45736</v>
      </c>
      <c r="M122" s="12">
        <v>45736</v>
      </c>
      <c r="N122" s="1" t="s">
        <v>38</v>
      </c>
      <c r="O122" s="28"/>
      <c r="P122" s="1" t="s">
        <v>35</v>
      </c>
      <c r="Q122" s="10">
        <v>15000</v>
      </c>
      <c r="R122" s="13">
        <f t="shared" si="26"/>
        <v>225000</v>
      </c>
      <c r="S122" s="1">
        <f t="shared" si="27"/>
        <v>22500</v>
      </c>
      <c r="T122" s="1">
        <v>20000</v>
      </c>
      <c r="U122" s="1">
        <f t="shared" si="28"/>
        <v>2000</v>
      </c>
      <c r="V122" s="10" t="s">
        <v>41</v>
      </c>
      <c r="W122" s="1" t="s">
        <v>183</v>
      </c>
      <c r="X122" s="14">
        <f t="shared" si="29"/>
        <v>269500</v>
      </c>
      <c r="Y122" s="14">
        <f t="shared" si="30"/>
        <v>247000</v>
      </c>
      <c r="Z122" s="2">
        <f t="shared" si="31"/>
        <v>0.91651205936920221</v>
      </c>
      <c r="AA122" s="19">
        <v>0</v>
      </c>
      <c r="AB122" s="1">
        <f t="shared" si="32"/>
        <v>-244999.99999999997</v>
      </c>
      <c r="AC122" s="22">
        <f t="shared" si="33"/>
        <v>1</v>
      </c>
      <c r="AD122" s="23">
        <f t="shared" si="34"/>
        <v>24500.000000000029</v>
      </c>
    </row>
    <row r="123" spans="1:30" ht="21" customHeight="1">
      <c r="A123" s="26">
        <f t="shared" si="24"/>
        <v>123</v>
      </c>
      <c r="B123" s="13">
        <v>3</v>
      </c>
      <c r="C123" s="38">
        <v>24</v>
      </c>
      <c r="D123" s="27" t="s">
        <v>37</v>
      </c>
      <c r="E123" s="9" t="s">
        <v>370</v>
      </c>
      <c r="F123" s="10">
        <v>1</v>
      </c>
      <c r="G123" s="11">
        <f t="shared" si="25"/>
        <v>165000</v>
      </c>
      <c r="H123" s="31"/>
      <c r="I123" s="18"/>
      <c r="J123" s="95">
        <v>45748</v>
      </c>
      <c r="K123" s="90"/>
      <c r="L123" s="12">
        <v>45747</v>
      </c>
      <c r="M123" s="12">
        <v>45735</v>
      </c>
      <c r="N123" s="1" t="s">
        <v>371</v>
      </c>
      <c r="O123" s="28" t="s">
        <v>372</v>
      </c>
      <c r="P123" s="1"/>
      <c r="Q123" s="10">
        <v>90000</v>
      </c>
      <c r="R123" s="13">
        <f t="shared" si="26"/>
        <v>90000</v>
      </c>
      <c r="S123" s="1">
        <f t="shared" si="27"/>
        <v>9000</v>
      </c>
      <c r="T123" s="1">
        <v>60000</v>
      </c>
      <c r="U123" s="1">
        <f t="shared" si="28"/>
        <v>6000</v>
      </c>
      <c r="V123" s="10" t="s">
        <v>41</v>
      </c>
      <c r="W123" s="1" t="s">
        <v>244</v>
      </c>
      <c r="X123" s="14">
        <f t="shared" si="29"/>
        <v>36300</v>
      </c>
      <c r="Y123" s="14">
        <f t="shared" si="30"/>
        <v>27300</v>
      </c>
      <c r="Z123" s="2">
        <f t="shared" si="31"/>
        <v>0.16545454545454547</v>
      </c>
      <c r="AA123" s="19">
        <v>128700</v>
      </c>
      <c r="AB123" s="1">
        <f t="shared" si="32"/>
        <v>-33000.000000000015</v>
      </c>
      <c r="AC123" s="22">
        <f t="shared" si="33"/>
        <v>0.22000000000000008</v>
      </c>
      <c r="AD123" s="23">
        <f t="shared" si="34"/>
        <v>3299.9999999999854</v>
      </c>
    </row>
    <row r="124" spans="1:30" ht="21" customHeight="1">
      <c r="A124" s="26">
        <f t="shared" si="24"/>
        <v>124</v>
      </c>
      <c r="B124" s="13">
        <v>3</v>
      </c>
      <c r="C124" s="38">
        <v>24</v>
      </c>
      <c r="D124" s="27" t="s">
        <v>37</v>
      </c>
      <c r="E124" s="9" t="s">
        <v>370</v>
      </c>
      <c r="F124" s="10">
        <v>1</v>
      </c>
      <c r="G124" s="11">
        <f t="shared" si="25"/>
        <v>33000</v>
      </c>
      <c r="H124" s="31"/>
      <c r="I124" s="18"/>
      <c r="J124" s="95">
        <v>45748</v>
      </c>
      <c r="K124" s="90"/>
      <c r="L124" s="12">
        <v>45747</v>
      </c>
      <c r="M124" s="12">
        <v>45735</v>
      </c>
      <c r="N124" s="1" t="s">
        <v>371</v>
      </c>
      <c r="O124" s="28" t="s">
        <v>372</v>
      </c>
      <c r="P124" s="1"/>
      <c r="Q124" s="10">
        <v>30000</v>
      </c>
      <c r="R124" s="13">
        <f t="shared" si="26"/>
        <v>30000</v>
      </c>
      <c r="S124" s="1">
        <f t="shared" si="27"/>
        <v>3000</v>
      </c>
      <c r="T124" s="1">
        <v>0</v>
      </c>
      <c r="U124" s="1">
        <f t="shared" si="28"/>
        <v>0</v>
      </c>
      <c r="V124" s="10" t="s">
        <v>41</v>
      </c>
      <c r="W124" s="1" t="s">
        <v>244</v>
      </c>
      <c r="X124" s="14">
        <f t="shared" si="29"/>
        <v>13530</v>
      </c>
      <c r="Y124" s="14">
        <f t="shared" si="30"/>
        <v>10530</v>
      </c>
      <c r="Z124" s="2">
        <f t="shared" si="31"/>
        <v>0.31909090909090909</v>
      </c>
      <c r="AA124" s="19">
        <v>19470</v>
      </c>
      <c r="AB124" s="1">
        <f t="shared" si="32"/>
        <v>-12299.999999999996</v>
      </c>
      <c r="AC124" s="22">
        <f t="shared" si="33"/>
        <v>0.40999999999999992</v>
      </c>
      <c r="AD124" s="23">
        <f t="shared" si="34"/>
        <v>1230.0000000000036</v>
      </c>
    </row>
    <row r="125" spans="1:30" ht="21" customHeight="1">
      <c r="A125" s="26">
        <f t="shared" si="24"/>
        <v>125</v>
      </c>
      <c r="B125" s="13">
        <v>3</v>
      </c>
      <c r="C125" s="38">
        <v>24</v>
      </c>
      <c r="D125" s="27" t="s">
        <v>37</v>
      </c>
      <c r="E125" s="9" t="s">
        <v>370</v>
      </c>
      <c r="F125" s="10">
        <v>1</v>
      </c>
      <c r="G125" s="11">
        <f t="shared" si="25"/>
        <v>88000</v>
      </c>
      <c r="H125" s="31"/>
      <c r="I125" s="18"/>
      <c r="J125" s="95">
        <v>45748</v>
      </c>
      <c r="K125" s="90"/>
      <c r="L125" s="12">
        <v>45747</v>
      </c>
      <c r="M125" s="12">
        <v>45735</v>
      </c>
      <c r="N125" s="1" t="s">
        <v>371</v>
      </c>
      <c r="O125" s="28" t="s">
        <v>372</v>
      </c>
      <c r="P125" s="1"/>
      <c r="Q125" s="10">
        <v>80000</v>
      </c>
      <c r="R125" s="13">
        <f t="shared" si="26"/>
        <v>80000</v>
      </c>
      <c r="S125" s="1">
        <f t="shared" si="27"/>
        <v>8000</v>
      </c>
      <c r="T125" s="1">
        <v>0</v>
      </c>
      <c r="U125" s="1">
        <f t="shared" si="28"/>
        <v>0</v>
      </c>
      <c r="V125" s="10" t="s">
        <v>41</v>
      </c>
      <c r="W125" s="1" t="s">
        <v>244</v>
      </c>
      <c r="X125" s="14">
        <f t="shared" si="29"/>
        <v>28270</v>
      </c>
      <c r="Y125" s="14">
        <f t="shared" si="30"/>
        <v>20270</v>
      </c>
      <c r="Z125" s="2">
        <f t="shared" si="31"/>
        <v>0.2303409090909091</v>
      </c>
      <c r="AA125" s="19">
        <v>59730</v>
      </c>
      <c r="AB125" s="1">
        <f t="shared" si="32"/>
        <v>-25700.000000000007</v>
      </c>
      <c r="AC125" s="22">
        <f t="shared" si="33"/>
        <v>0.32125000000000009</v>
      </c>
      <c r="AD125" s="23">
        <f t="shared" si="34"/>
        <v>2569.9999999999927</v>
      </c>
    </row>
    <row r="126" spans="1:30" ht="21" customHeight="1">
      <c r="A126" s="26">
        <f t="shared" si="24"/>
        <v>126</v>
      </c>
      <c r="B126" s="13">
        <v>3</v>
      </c>
      <c r="C126" s="38">
        <v>24</v>
      </c>
      <c r="D126" s="27" t="s">
        <v>37</v>
      </c>
      <c r="E126" s="9" t="s">
        <v>373</v>
      </c>
      <c r="F126" s="10">
        <v>3</v>
      </c>
      <c r="G126" s="11">
        <f t="shared" si="25"/>
        <v>26400</v>
      </c>
      <c r="H126" s="31"/>
      <c r="I126" s="18"/>
      <c r="J126" s="95">
        <v>45748</v>
      </c>
      <c r="K126" s="90"/>
      <c r="L126" s="12">
        <v>45740</v>
      </c>
      <c r="M126" s="25" t="s">
        <v>374</v>
      </c>
      <c r="N126" s="1" t="s">
        <v>48</v>
      </c>
      <c r="O126" s="28"/>
      <c r="P126" s="1" t="s">
        <v>49</v>
      </c>
      <c r="Q126" s="10">
        <v>8000</v>
      </c>
      <c r="R126" s="13">
        <f t="shared" si="26"/>
        <v>24000</v>
      </c>
      <c r="S126" s="1">
        <f t="shared" si="27"/>
        <v>2400</v>
      </c>
      <c r="T126" s="1">
        <v>0</v>
      </c>
      <c r="U126" s="1">
        <f t="shared" si="28"/>
        <v>0</v>
      </c>
      <c r="V126" s="10" t="s">
        <v>41</v>
      </c>
      <c r="W126" s="1" t="s">
        <v>358</v>
      </c>
      <c r="X126" s="14">
        <f t="shared" si="29"/>
        <v>-33330</v>
      </c>
      <c r="Y126" s="14">
        <f t="shared" si="30"/>
        <v>-35730</v>
      </c>
      <c r="Z126" s="2">
        <f t="shared" si="31"/>
        <v>-1.353409090909091</v>
      </c>
      <c r="AA126" s="19">
        <v>59730</v>
      </c>
      <c r="AB126" s="1">
        <f t="shared" si="32"/>
        <v>30299.999999999996</v>
      </c>
      <c r="AC126" s="22">
        <f t="shared" si="33"/>
        <v>-1.2625</v>
      </c>
      <c r="AD126" s="23">
        <f t="shared" si="34"/>
        <v>-3030.0000000000036</v>
      </c>
    </row>
    <row r="127" spans="1:30" ht="21" customHeight="1">
      <c r="A127" s="26">
        <f t="shared" si="24"/>
        <v>127</v>
      </c>
      <c r="B127" s="13">
        <v>3</v>
      </c>
      <c r="C127" s="38">
        <v>25</v>
      </c>
      <c r="D127" s="27" t="s">
        <v>37</v>
      </c>
      <c r="E127" s="16" t="s">
        <v>167</v>
      </c>
      <c r="F127" s="10">
        <v>1</v>
      </c>
      <c r="G127" s="11">
        <f t="shared" si="25"/>
        <v>583000</v>
      </c>
      <c r="H127" s="31"/>
      <c r="I127" s="18"/>
      <c r="J127" s="95">
        <v>45779</v>
      </c>
      <c r="K127" s="90"/>
      <c r="L127" s="12">
        <v>45750</v>
      </c>
      <c r="M127" s="12">
        <v>45750</v>
      </c>
      <c r="N127" s="1" t="s">
        <v>43</v>
      </c>
      <c r="O127" s="1" t="s">
        <v>168</v>
      </c>
      <c r="P127" s="1" t="s">
        <v>44</v>
      </c>
      <c r="Q127" s="10">
        <v>530000</v>
      </c>
      <c r="R127" s="13">
        <f t="shared" si="26"/>
        <v>530000</v>
      </c>
      <c r="S127" s="1">
        <f t="shared" si="27"/>
        <v>53000</v>
      </c>
      <c r="T127" s="1">
        <v>0</v>
      </c>
      <c r="U127" s="1">
        <f t="shared" si="28"/>
        <v>0</v>
      </c>
      <c r="V127" s="10" t="s">
        <v>46</v>
      </c>
      <c r="W127" s="1" t="s">
        <v>199</v>
      </c>
      <c r="X127" s="14">
        <f t="shared" si="29"/>
        <v>308900</v>
      </c>
      <c r="Y127" s="14">
        <f t="shared" si="30"/>
        <v>255900</v>
      </c>
      <c r="Z127" s="2">
        <f t="shared" si="31"/>
        <v>0.43893653516295028</v>
      </c>
      <c r="AA127" s="19">
        <v>274100</v>
      </c>
      <c r="AB127" s="1">
        <f t="shared" si="32"/>
        <v>-280818.18181818188</v>
      </c>
      <c r="AC127" s="20">
        <f t="shared" si="33"/>
        <v>0.52984562607204133</v>
      </c>
      <c r="AD127" s="21">
        <f t="shared" si="34"/>
        <v>28081.818181818147</v>
      </c>
    </row>
    <row r="128" spans="1:30" ht="21" customHeight="1">
      <c r="A128" s="26">
        <f t="shared" si="24"/>
        <v>128</v>
      </c>
      <c r="B128" s="13">
        <v>3</v>
      </c>
      <c r="C128" s="38">
        <v>28</v>
      </c>
      <c r="D128" s="10" t="s">
        <v>37</v>
      </c>
      <c r="E128" s="24" t="s">
        <v>375</v>
      </c>
      <c r="F128" s="10">
        <v>1</v>
      </c>
      <c r="G128" s="11">
        <f t="shared" si="25"/>
        <v>20900</v>
      </c>
      <c r="H128" s="31"/>
      <c r="I128" s="18"/>
      <c r="J128" s="95">
        <v>45792</v>
      </c>
      <c r="K128" s="90"/>
      <c r="L128" s="12">
        <v>45750</v>
      </c>
      <c r="M128" s="12">
        <v>45750</v>
      </c>
      <c r="N128" s="1" t="s">
        <v>38</v>
      </c>
      <c r="O128" s="1"/>
      <c r="P128" s="1" t="s">
        <v>205</v>
      </c>
      <c r="Q128" s="10">
        <v>19000</v>
      </c>
      <c r="R128" s="13">
        <f t="shared" si="26"/>
        <v>19000</v>
      </c>
      <c r="S128" s="1">
        <f t="shared" si="27"/>
        <v>1900</v>
      </c>
      <c r="T128" s="1">
        <v>0</v>
      </c>
      <c r="U128" s="1">
        <f t="shared" si="28"/>
        <v>0</v>
      </c>
      <c r="V128" s="10" t="s">
        <v>41</v>
      </c>
      <c r="W128" s="1" t="s">
        <v>183</v>
      </c>
      <c r="X128" s="14">
        <f t="shared" si="29"/>
        <v>5900</v>
      </c>
      <c r="Y128" s="14">
        <f t="shared" si="30"/>
        <v>4000</v>
      </c>
      <c r="Z128" s="2">
        <f t="shared" si="31"/>
        <v>0.19138755980861244</v>
      </c>
      <c r="AA128" s="19">
        <v>15000</v>
      </c>
      <c r="AB128" s="1">
        <f t="shared" si="32"/>
        <v>-5363.636363636364</v>
      </c>
      <c r="AC128" s="20">
        <f t="shared" si="33"/>
        <v>0.28229665071770338</v>
      </c>
      <c r="AD128" s="21">
        <f t="shared" si="34"/>
        <v>536.36363636363603</v>
      </c>
    </row>
    <row r="129" spans="1:30" ht="21" customHeight="1">
      <c r="A129" s="26">
        <f t="shared" si="24"/>
        <v>129</v>
      </c>
      <c r="B129" s="13">
        <v>3</v>
      </c>
      <c r="C129" s="38">
        <v>28</v>
      </c>
      <c r="D129" s="10" t="s">
        <v>37</v>
      </c>
      <c r="E129" s="24" t="s">
        <v>376</v>
      </c>
      <c r="F129" s="10">
        <v>6</v>
      </c>
      <c r="G129" s="11">
        <f t="shared" si="25"/>
        <v>165000</v>
      </c>
      <c r="H129" s="31"/>
      <c r="I129" s="1"/>
      <c r="J129" s="96"/>
      <c r="K129" s="90"/>
      <c r="L129" s="12">
        <v>45750</v>
      </c>
      <c r="M129" s="12">
        <v>45750</v>
      </c>
      <c r="N129" s="1" t="s">
        <v>38</v>
      </c>
      <c r="O129" s="1"/>
      <c r="P129" s="1" t="s">
        <v>377</v>
      </c>
      <c r="Q129" s="10">
        <v>25000</v>
      </c>
      <c r="R129" s="13">
        <f t="shared" si="26"/>
        <v>150000</v>
      </c>
      <c r="S129" s="1">
        <f t="shared" si="27"/>
        <v>15000</v>
      </c>
      <c r="T129" s="1">
        <v>0</v>
      </c>
      <c r="U129" s="1">
        <f t="shared" si="28"/>
        <v>0</v>
      </c>
      <c r="V129" s="10" t="s">
        <v>41</v>
      </c>
      <c r="W129" s="1" t="s">
        <v>244</v>
      </c>
      <c r="X129" s="14">
        <f t="shared" si="29"/>
        <v>60390</v>
      </c>
      <c r="Y129" s="14">
        <f t="shared" si="30"/>
        <v>45390</v>
      </c>
      <c r="Z129" s="2">
        <f t="shared" si="31"/>
        <v>0.27509090909090911</v>
      </c>
      <c r="AA129" s="19">
        <v>104610</v>
      </c>
      <c r="AB129" s="1">
        <f t="shared" si="32"/>
        <v>-54900.000000000015</v>
      </c>
      <c r="AC129" s="20">
        <f t="shared" si="33"/>
        <v>0.3660000000000001</v>
      </c>
      <c r="AD129" s="21">
        <f t="shared" si="34"/>
        <v>5489.9999999999854</v>
      </c>
    </row>
    <row r="130" spans="1:30" ht="21" customHeight="1">
      <c r="A130" s="26">
        <f t="shared" si="24"/>
        <v>130</v>
      </c>
      <c r="B130" s="13">
        <v>3</v>
      </c>
      <c r="C130" s="38">
        <v>28</v>
      </c>
      <c r="D130" s="10" t="s">
        <v>47</v>
      </c>
      <c r="E130" s="24" t="s">
        <v>378</v>
      </c>
      <c r="F130" s="10">
        <v>2</v>
      </c>
      <c r="G130" s="11">
        <f t="shared" si="25"/>
        <v>66000</v>
      </c>
      <c r="H130" s="31"/>
      <c r="I130" s="18"/>
      <c r="J130" s="95">
        <v>45756</v>
      </c>
      <c r="K130" s="90"/>
      <c r="L130" s="12">
        <v>45747</v>
      </c>
      <c r="M130" s="12">
        <v>45747</v>
      </c>
      <c r="N130" s="1" t="s">
        <v>121</v>
      </c>
      <c r="O130" s="1"/>
      <c r="P130" s="1" t="s">
        <v>109</v>
      </c>
      <c r="Q130" s="10">
        <v>30000</v>
      </c>
      <c r="R130" s="13">
        <f t="shared" si="26"/>
        <v>60000</v>
      </c>
      <c r="S130" s="1">
        <f t="shared" si="27"/>
        <v>6000</v>
      </c>
      <c r="T130" s="1">
        <v>0</v>
      </c>
      <c r="U130" s="1">
        <f t="shared" si="28"/>
        <v>0</v>
      </c>
      <c r="V130" s="10" t="s">
        <v>41</v>
      </c>
      <c r="W130" s="1" t="s">
        <v>379</v>
      </c>
      <c r="X130" s="14">
        <f t="shared" si="29"/>
        <v>19250</v>
      </c>
      <c r="Y130" s="14">
        <f t="shared" si="30"/>
        <v>13250</v>
      </c>
      <c r="Z130" s="2">
        <f t="shared" si="31"/>
        <v>0.20075757575757575</v>
      </c>
      <c r="AA130" s="19">
        <v>46750</v>
      </c>
      <c r="AB130" s="1">
        <f t="shared" si="32"/>
        <v>-17499.999999999993</v>
      </c>
      <c r="AC130" s="20">
        <f t="shared" si="33"/>
        <v>0.29166666666666657</v>
      </c>
      <c r="AD130" s="21">
        <f t="shared" si="34"/>
        <v>1750.0000000000073</v>
      </c>
    </row>
    <row r="131" spans="1:30" ht="21" customHeight="1">
      <c r="A131" s="26">
        <f t="shared" si="24"/>
        <v>131</v>
      </c>
      <c r="B131" s="13">
        <v>3</v>
      </c>
      <c r="C131" s="38">
        <v>28</v>
      </c>
      <c r="D131" s="10" t="s">
        <v>47</v>
      </c>
      <c r="E131" s="24" t="s">
        <v>380</v>
      </c>
      <c r="F131" s="10">
        <v>4</v>
      </c>
      <c r="G131" s="11">
        <f t="shared" si="25"/>
        <v>116600</v>
      </c>
      <c r="H131" s="31"/>
      <c r="I131" s="18"/>
      <c r="J131" s="95">
        <v>45751</v>
      </c>
      <c r="K131" s="90"/>
      <c r="L131" s="12">
        <v>45743</v>
      </c>
      <c r="M131" s="12">
        <v>45743</v>
      </c>
      <c r="N131" s="1" t="s">
        <v>121</v>
      </c>
      <c r="O131" s="1"/>
      <c r="P131" s="1" t="s">
        <v>109</v>
      </c>
      <c r="Q131" s="10">
        <v>25000</v>
      </c>
      <c r="R131" s="13">
        <f t="shared" si="26"/>
        <v>100000</v>
      </c>
      <c r="S131" s="1">
        <f t="shared" si="27"/>
        <v>10000</v>
      </c>
      <c r="T131" s="1">
        <v>6000</v>
      </c>
      <c r="U131" s="1">
        <f t="shared" si="28"/>
        <v>600</v>
      </c>
      <c r="V131" s="10" t="s">
        <v>41</v>
      </c>
      <c r="W131" s="1" t="s">
        <v>180</v>
      </c>
      <c r="X131" s="14">
        <f t="shared" si="29"/>
        <v>33550</v>
      </c>
      <c r="Y131" s="14">
        <f t="shared" si="30"/>
        <v>23550</v>
      </c>
      <c r="Z131" s="2">
        <f t="shared" si="31"/>
        <v>0.20197255574614065</v>
      </c>
      <c r="AA131" s="19">
        <v>83050</v>
      </c>
      <c r="AB131" s="1">
        <f t="shared" si="32"/>
        <v>-30499.999999999985</v>
      </c>
      <c r="AC131" s="20">
        <f t="shared" si="33"/>
        <v>0.28773584905660365</v>
      </c>
      <c r="AD131" s="21">
        <f t="shared" si="34"/>
        <v>3050.0000000000146</v>
      </c>
    </row>
    <row r="132" spans="1:30" ht="21" customHeight="1">
      <c r="A132" s="26">
        <f t="shared" si="24"/>
        <v>132</v>
      </c>
      <c r="B132" s="13">
        <v>3</v>
      </c>
      <c r="C132" s="38">
        <v>28</v>
      </c>
      <c r="D132" s="10" t="s">
        <v>162</v>
      </c>
      <c r="E132" s="24" t="s">
        <v>381</v>
      </c>
      <c r="F132" s="10">
        <v>1</v>
      </c>
      <c r="G132" s="11">
        <f t="shared" si="25"/>
        <v>22000</v>
      </c>
      <c r="H132" s="31"/>
      <c r="I132" s="18"/>
      <c r="J132" s="95">
        <v>45744</v>
      </c>
      <c r="K132" s="90"/>
      <c r="L132" s="25" t="s">
        <v>57</v>
      </c>
      <c r="M132" s="25" t="s">
        <v>57</v>
      </c>
      <c r="N132" s="1" t="s">
        <v>382</v>
      </c>
      <c r="O132" s="1"/>
      <c r="P132" s="1" t="s">
        <v>35</v>
      </c>
      <c r="Q132" s="10">
        <v>20000</v>
      </c>
      <c r="R132" s="13">
        <f t="shared" si="26"/>
        <v>20000</v>
      </c>
      <c r="S132" s="1">
        <f t="shared" si="27"/>
        <v>2000</v>
      </c>
      <c r="T132" s="1">
        <v>0</v>
      </c>
      <c r="U132" s="1">
        <f t="shared" si="28"/>
        <v>0</v>
      </c>
      <c r="V132" s="10" t="s">
        <v>36</v>
      </c>
      <c r="W132" s="1" t="s">
        <v>237</v>
      </c>
      <c r="X132" s="14">
        <f t="shared" si="29"/>
        <v>-125950</v>
      </c>
      <c r="Y132" s="14">
        <f t="shared" si="30"/>
        <v>-127950</v>
      </c>
      <c r="Z132" s="2">
        <f t="shared" si="31"/>
        <v>-5.8159090909090905</v>
      </c>
      <c r="AA132" s="19">
        <v>147950</v>
      </c>
      <c r="AB132" s="1">
        <f t="shared" si="32"/>
        <v>114500</v>
      </c>
      <c r="AC132" s="20">
        <f t="shared" si="33"/>
        <v>-5.7249999999999996</v>
      </c>
      <c r="AD132" s="21">
        <f t="shared" si="34"/>
        <v>-11450</v>
      </c>
    </row>
    <row r="133" spans="1:30" ht="2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  <c r="AA133" s="1"/>
      <c r="AB133" s="1"/>
      <c r="AC133" s="1"/>
      <c r="AD133" s="1"/>
    </row>
    <row r="134" spans="1:30" ht="21" customHeight="1">
      <c r="A134" s="26">
        <f t="shared" ref="A134:A175" si="35">ROW()</f>
        <v>134</v>
      </c>
      <c r="B134" s="43">
        <v>4</v>
      </c>
      <c r="C134" s="44">
        <v>2</v>
      </c>
      <c r="D134" s="1" t="s">
        <v>37</v>
      </c>
      <c r="E134" s="9" t="s">
        <v>383</v>
      </c>
      <c r="F134" s="10">
        <v>1</v>
      </c>
      <c r="G134" s="11">
        <f t="shared" ref="G134:G175" si="36">R134+S134+T134+U134</f>
        <v>61600</v>
      </c>
      <c r="H134" s="31"/>
      <c r="I134" s="18"/>
      <c r="J134" s="95">
        <v>45754</v>
      </c>
      <c r="K134" s="90"/>
      <c r="L134" s="12">
        <v>45750</v>
      </c>
      <c r="M134" s="12">
        <v>45749</v>
      </c>
      <c r="N134" s="1" t="s">
        <v>45</v>
      </c>
      <c r="O134" s="1" t="s">
        <v>341</v>
      </c>
      <c r="P134" s="1" t="s">
        <v>342</v>
      </c>
      <c r="Q134" s="10">
        <v>56000</v>
      </c>
      <c r="R134" s="13">
        <f t="shared" ref="R134:R174" si="37">Q134*F134</f>
        <v>56000</v>
      </c>
      <c r="S134" s="1">
        <f t="shared" ref="S134:S142" si="38">R134*0.1</f>
        <v>5600</v>
      </c>
      <c r="T134" s="1">
        <v>0</v>
      </c>
      <c r="U134" s="1">
        <f t="shared" ref="U134:U167" si="39">T134*0.1</f>
        <v>0</v>
      </c>
      <c r="V134" s="10" t="s">
        <v>36</v>
      </c>
      <c r="W134" s="1" t="s">
        <v>244</v>
      </c>
      <c r="X134" s="14">
        <f t="shared" ref="X134:X175" si="40">G134-AA134</f>
        <v>30440</v>
      </c>
      <c r="Y134" s="14">
        <f t="shared" ref="Y134:Y175" si="41">X134-S134</f>
        <v>24840</v>
      </c>
      <c r="Z134" s="2">
        <f t="shared" ref="Z134:Z175" si="42">Y134/G134</f>
        <v>0.40324675324675324</v>
      </c>
      <c r="AA134" s="19">
        <v>31160</v>
      </c>
      <c r="AB134" s="1">
        <f t="shared" ref="AB134:AB175" si="43">(AA134/1.1)-(G134/1.1)</f>
        <v>-27672.727272727268</v>
      </c>
      <c r="AC134" s="22">
        <f t="shared" ref="AC134:AC175" si="44">((G134/1.1) - (AA134/1.1)) / (G134/1.1) * 1</f>
        <v>0.49415584415584413</v>
      </c>
      <c r="AD134" s="23">
        <f t="shared" ref="AD134:AD175" si="45">(G134 - (G134 / 1.1)) - (AA134 - (AA134 / 1.1))</f>
        <v>2767.2727272727316</v>
      </c>
    </row>
    <row r="135" spans="1:30" ht="21" customHeight="1">
      <c r="A135" s="26">
        <f t="shared" si="35"/>
        <v>135</v>
      </c>
      <c r="B135" s="43">
        <v>4</v>
      </c>
      <c r="C135" s="44">
        <v>2</v>
      </c>
      <c r="D135" s="1" t="s">
        <v>70</v>
      </c>
      <c r="E135" s="9" t="s">
        <v>384</v>
      </c>
      <c r="F135" s="10">
        <v>2</v>
      </c>
      <c r="G135" s="11">
        <f t="shared" si="36"/>
        <v>110000</v>
      </c>
      <c r="H135" s="31"/>
      <c r="I135" s="18"/>
      <c r="J135" s="95">
        <v>45768</v>
      </c>
      <c r="K135" s="90"/>
      <c r="L135" s="12">
        <v>45750</v>
      </c>
      <c r="M135" s="12">
        <v>45750</v>
      </c>
      <c r="N135" s="1" t="s">
        <v>38</v>
      </c>
      <c r="O135" s="1" t="s">
        <v>39</v>
      </c>
      <c r="P135" s="1" t="s">
        <v>78</v>
      </c>
      <c r="Q135" s="10">
        <v>50000</v>
      </c>
      <c r="R135" s="13">
        <f t="shared" si="37"/>
        <v>100000</v>
      </c>
      <c r="S135" s="1">
        <f t="shared" si="38"/>
        <v>10000</v>
      </c>
      <c r="T135" s="1">
        <v>0</v>
      </c>
      <c r="U135" s="1">
        <f t="shared" si="39"/>
        <v>0</v>
      </c>
      <c r="V135" s="10" t="s">
        <v>36</v>
      </c>
      <c r="W135" s="1" t="s">
        <v>244</v>
      </c>
      <c r="X135" s="14">
        <f t="shared" si="40"/>
        <v>14960</v>
      </c>
      <c r="Y135" s="14">
        <f t="shared" si="41"/>
        <v>4960</v>
      </c>
      <c r="Z135" s="2">
        <f t="shared" si="42"/>
        <v>4.5090909090909091E-2</v>
      </c>
      <c r="AA135" s="19">
        <v>95040</v>
      </c>
      <c r="AB135" s="1">
        <f t="shared" si="43"/>
        <v>-13599.999999999985</v>
      </c>
      <c r="AC135" s="22">
        <f t="shared" si="44"/>
        <v>0.13599999999999987</v>
      </c>
      <c r="AD135" s="23">
        <f t="shared" si="45"/>
        <v>1360.0000000000146</v>
      </c>
    </row>
    <row r="136" spans="1:30" ht="21" customHeight="1">
      <c r="A136" s="26">
        <f t="shared" si="35"/>
        <v>136</v>
      </c>
      <c r="B136" s="43">
        <v>4</v>
      </c>
      <c r="C136" s="44">
        <v>2</v>
      </c>
      <c r="D136" s="1" t="s">
        <v>70</v>
      </c>
      <c r="E136" s="9" t="s">
        <v>384</v>
      </c>
      <c r="F136" s="10">
        <v>4</v>
      </c>
      <c r="G136" s="11">
        <f t="shared" si="36"/>
        <v>88000</v>
      </c>
      <c r="H136" s="31"/>
      <c r="I136" s="18"/>
      <c r="J136" s="95">
        <v>45768</v>
      </c>
      <c r="K136" s="90"/>
      <c r="L136" s="12">
        <v>45750</v>
      </c>
      <c r="M136" s="12">
        <v>45750</v>
      </c>
      <c r="N136" s="1" t="s">
        <v>79</v>
      </c>
      <c r="O136" s="1" t="s">
        <v>385</v>
      </c>
      <c r="P136" s="1" t="s">
        <v>81</v>
      </c>
      <c r="Q136" s="10">
        <v>20000</v>
      </c>
      <c r="R136" s="13">
        <f t="shared" si="37"/>
        <v>80000</v>
      </c>
      <c r="S136" s="1">
        <f t="shared" si="38"/>
        <v>8000</v>
      </c>
      <c r="T136" s="1">
        <v>0</v>
      </c>
      <c r="U136" s="1">
        <f t="shared" si="39"/>
        <v>0</v>
      </c>
      <c r="V136" s="10" t="s">
        <v>36</v>
      </c>
      <c r="W136" s="1" t="s">
        <v>244</v>
      </c>
      <c r="X136" s="14">
        <f t="shared" si="40"/>
        <v>88000</v>
      </c>
      <c r="Y136" s="14">
        <f t="shared" si="41"/>
        <v>80000</v>
      </c>
      <c r="Z136" s="2">
        <f t="shared" si="42"/>
        <v>0.90909090909090906</v>
      </c>
      <c r="AA136" s="19">
        <v>0</v>
      </c>
      <c r="AB136" s="1">
        <f t="shared" si="43"/>
        <v>-80000</v>
      </c>
      <c r="AC136" s="22">
        <f t="shared" si="44"/>
        <v>1</v>
      </c>
      <c r="AD136" s="23">
        <f t="shared" si="45"/>
        <v>8000</v>
      </c>
    </row>
    <row r="137" spans="1:30" ht="21" customHeight="1">
      <c r="A137" s="26">
        <f t="shared" si="35"/>
        <v>137</v>
      </c>
      <c r="B137" s="43">
        <v>4</v>
      </c>
      <c r="C137" s="44">
        <v>2</v>
      </c>
      <c r="D137" s="1" t="s">
        <v>70</v>
      </c>
      <c r="E137" s="9" t="s">
        <v>384</v>
      </c>
      <c r="F137" s="10">
        <v>1</v>
      </c>
      <c r="G137" s="11">
        <f t="shared" si="36"/>
        <v>27500</v>
      </c>
      <c r="H137" s="31"/>
      <c r="I137" s="18"/>
      <c r="J137" s="95">
        <v>45768</v>
      </c>
      <c r="K137" s="90"/>
      <c r="L137" s="12">
        <v>45750</v>
      </c>
      <c r="M137" s="12">
        <v>45750</v>
      </c>
      <c r="N137" s="1" t="s">
        <v>42</v>
      </c>
      <c r="O137" s="1" t="s">
        <v>121</v>
      </c>
      <c r="P137" s="1" t="s">
        <v>72</v>
      </c>
      <c r="Q137" s="10">
        <v>25000</v>
      </c>
      <c r="R137" s="13">
        <f t="shared" si="37"/>
        <v>25000</v>
      </c>
      <c r="S137" s="1">
        <f t="shared" si="38"/>
        <v>2500</v>
      </c>
      <c r="T137" s="1">
        <v>0</v>
      </c>
      <c r="U137" s="1">
        <f t="shared" si="39"/>
        <v>0</v>
      </c>
      <c r="V137" s="10" t="s">
        <v>36</v>
      </c>
      <c r="W137" s="1" t="s">
        <v>244</v>
      </c>
      <c r="X137" s="14">
        <f t="shared" si="40"/>
        <v>27500</v>
      </c>
      <c r="Y137" s="14">
        <f t="shared" si="41"/>
        <v>25000</v>
      </c>
      <c r="Z137" s="2">
        <f t="shared" si="42"/>
        <v>0.90909090909090906</v>
      </c>
      <c r="AA137" s="19">
        <v>0</v>
      </c>
      <c r="AB137" s="1">
        <f t="shared" si="43"/>
        <v>-24999.999999999996</v>
      </c>
      <c r="AC137" s="22">
        <f t="shared" si="44"/>
        <v>1</v>
      </c>
      <c r="AD137" s="23">
        <f t="shared" si="45"/>
        <v>2500.0000000000036</v>
      </c>
    </row>
    <row r="138" spans="1:30" ht="21" customHeight="1">
      <c r="A138" s="26">
        <f t="shared" si="35"/>
        <v>138</v>
      </c>
      <c r="B138" s="43">
        <v>4</v>
      </c>
      <c r="C138" s="44">
        <v>2</v>
      </c>
      <c r="D138" s="10" t="s">
        <v>47</v>
      </c>
      <c r="E138" s="24" t="s">
        <v>386</v>
      </c>
      <c r="F138" s="10">
        <v>11</v>
      </c>
      <c r="G138" s="11">
        <f t="shared" si="36"/>
        <v>363000</v>
      </c>
      <c r="H138" s="31"/>
      <c r="I138" s="1"/>
      <c r="J138" s="96"/>
      <c r="K138" s="90"/>
      <c r="L138" s="12">
        <v>45750</v>
      </c>
      <c r="M138" s="45" t="s">
        <v>229</v>
      </c>
      <c r="N138" s="1" t="s">
        <v>121</v>
      </c>
      <c r="O138" s="1"/>
      <c r="P138" s="1" t="s">
        <v>109</v>
      </c>
      <c r="Q138" s="10">
        <v>30000</v>
      </c>
      <c r="R138" s="13">
        <f t="shared" si="37"/>
        <v>330000</v>
      </c>
      <c r="S138" s="1">
        <f t="shared" si="38"/>
        <v>33000</v>
      </c>
      <c r="T138" s="1">
        <v>0</v>
      </c>
      <c r="U138" s="1">
        <f t="shared" si="39"/>
        <v>0</v>
      </c>
      <c r="V138" s="10" t="s">
        <v>41</v>
      </c>
      <c r="W138" s="1" t="s">
        <v>387</v>
      </c>
      <c r="X138" s="14">
        <f t="shared" si="40"/>
        <v>132000</v>
      </c>
      <c r="Y138" s="14">
        <f t="shared" si="41"/>
        <v>99000</v>
      </c>
      <c r="Z138" s="2">
        <f t="shared" si="42"/>
        <v>0.27272727272727271</v>
      </c>
      <c r="AA138" s="19">
        <v>231000</v>
      </c>
      <c r="AB138" s="1">
        <f t="shared" si="43"/>
        <v>-120000.00000000003</v>
      </c>
      <c r="AC138" s="20">
        <f t="shared" si="44"/>
        <v>0.3636363636363637</v>
      </c>
      <c r="AD138" s="21">
        <f t="shared" si="45"/>
        <v>11999.999999999971</v>
      </c>
    </row>
    <row r="139" spans="1:30" ht="21" customHeight="1">
      <c r="A139" s="26">
        <f t="shared" si="35"/>
        <v>139</v>
      </c>
      <c r="B139" s="43">
        <v>4</v>
      </c>
      <c r="C139" s="44">
        <v>2</v>
      </c>
      <c r="D139" s="10" t="s">
        <v>47</v>
      </c>
      <c r="E139" s="24" t="s">
        <v>388</v>
      </c>
      <c r="F139" s="10">
        <v>2</v>
      </c>
      <c r="G139" s="11">
        <f t="shared" si="36"/>
        <v>26400</v>
      </c>
      <c r="H139" s="31"/>
      <c r="I139" s="1"/>
      <c r="J139" s="96"/>
      <c r="K139" s="90"/>
      <c r="L139" s="12">
        <v>45750</v>
      </c>
      <c r="M139" s="45" t="s">
        <v>229</v>
      </c>
      <c r="N139" s="1" t="s">
        <v>45</v>
      </c>
      <c r="O139" s="1" t="s">
        <v>34</v>
      </c>
      <c r="P139" s="1" t="s">
        <v>35</v>
      </c>
      <c r="Q139" s="10">
        <v>12000</v>
      </c>
      <c r="R139" s="13">
        <f t="shared" si="37"/>
        <v>24000</v>
      </c>
      <c r="S139" s="1">
        <f t="shared" si="38"/>
        <v>2400</v>
      </c>
      <c r="T139" s="1">
        <v>0</v>
      </c>
      <c r="U139" s="1">
        <f t="shared" si="39"/>
        <v>0</v>
      </c>
      <c r="V139" s="10" t="s">
        <v>41</v>
      </c>
      <c r="W139" s="1" t="s">
        <v>387</v>
      </c>
      <c r="X139" s="14">
        <f t="shared" si="40"/>
        <v>11800</v>
      </c>
      <c r="Y139" s="14">
        <f t="shared" si="41"/>
        <v>9400</v>
      </c>
      <c r="Z139" s="2">
        <f t="shared" si="42"/>
        <v>0.35606060606060608</v>
      </c>
      <c r="AA139" s="19">
        <v>14600</v>
      </c>
      <c r="AB139" s="1">
        <f t="shared" si="43"/>
        <v>-10727.272727272724</v>
      </c>
      <c r="AC139" s="20">
        <f t="shared" si="44"/>
        <v>0.44696969696969691</v>
      </c>
      <c r="AD139" s="21">
        <f t="shared" si="45"/>
        <v>1072.7272727272757</v>
      </c>
    </row>
    <row r="140" spans="1:30" ht="21" customHeight="1">
      <c r="A140" s="26">
        <f t="shared" si="35"/>
        <v>140</v>
      </c>
      <c r="B140" s="43">
        <v>4</v>
      </c>
      <c r="C140" s="44">
        <v>2</v>
      </c>
      <c r="D140" s="10" t="s">
        <v>225</v>
      </c>
      <c r="E140" s="24" t="s">
        <v>389</v>
      </c>
      <c r="F140" s="10">
        <v>1</v>
      </c>
      <c r="G140" s="11">
        <f t="shared" si="36"/>
        <v>20900</v>
      </c>
      <c r="H140" s="31"/>
      <c r="I140" s="18"/>
      <c r="J140" s="95">
        <v>45757</v>
      </c>
      <c r="K140" s="90"/>
      <c r="L140" s="12">
        <v>45750</v>
      </c>
      <c r="M140" s="45" t="s">
        <v>229</v>
      </c>
      <c r="N140" s="1" t="s">
        <v>38</v>
      </c>
      <c r="O140" s="1" t="s">
        <v>39</v>
      </c>
      <c r="P140" s="1" t="s">
        <v>83</v>
      </c>
      <c r="Q140" s="10">
        <v>19000</v>
      </c>
      <c r="R140" s="13">
        <f t="shared" si="37"/>
        <v>19000</v>
      </c>
      <c r="S140" s="1">
        <f t="shared" si="38"/>
        <v>1900</v>
      </c>
      <c r="T140" s="1">
        <v>0</v>
      </c>
      <c r="U140" s="1">
        <f t="shared" si="39"/>
        <v>0</v>
      </c>
      <c r="V140" s="10" t="s">
        <v>41</v>
      </c>
      <c r="W140" s="1" t="s">
        <v>186</v>
      </c>
      <c r="X140" s="14">
        <f t="shared" si="40"/>
        <v>9900</v>
      </c>
      <c r="Y140" s="14">
        <f t="shared" si="41"/>
        <v>8000</v>
      </c>
      <c r="Z140" s="2">
        <f t="shared" si="42"/>
        <v>0.38277511961722488</v>
      </c>
      <c r="AA140" s="19">
        <v>11000</v>
      </c>
      <c r="AB140" s="1">
        <f t="shared" si="43"/>
        <v>-9000</v>
      </c>
      <c r="AC140" s="20">
        <f t="shared" si="44"/>
        <v>0.47368421052631576</v>
      </c>
      <c r="AD140" s="21">
        <f t="shared" si="45"/>
        <v>900</v>
      </c>
    </row>
    <row r="141" spans="1:30" ht="21" customHeight="1">
      <c r="A141" s="26">
        <f t="shared" si="35"/>
        <v>141</v>
      </c>
      <c r="B141" s="43">
        <v>4</v>
      </c>
      <c r="C141" s="44">
        <v>2</v>
      </c>
      <c r="D141" s="10" t="s">
        <v>70</v>
      </c>
      <c r="E141" s="24" t="s">
        <v>390</v>
      </c>
      <c r="F141" s="10">
        <v>1</v>
      </c>
      <c r="G141" s="11">
        <f t="shared" si="36"/>
        <v>440000</v>
      </c>
      <c r="H141" s="31"/>
      <c r="I141" s="18"/>
      <c r="J141" s="95">
        <v>45757</v>
      </c>
      <c r="K141" s="90"/>
      <c r="L141" s="12">
        <v>45750</v>
      </c>
      <c r="M141" s="12">
        <v>45750</v>
      </c>
      <c r="N141" s="1"/>
      <c r="O141" s="1"/>
      <c r="P141" s="1"/>
      <c r="Q141" s="10">
        <v>400000</v>
      </c>
      <c r="R141" s="13">
        <f t="shared" si="37"/>
        <v>400000</v>
      </c>
      <c r="S141" s="1">
        <f t="shared" si="38"/>
        <v>40000</v>
      </c>
      <c r="T141" s="1">
        <v>0</v>
      </c>
      <c r="U141" s="1">
        <f t="shared" si="39"/>
        <v>0</v>
      </c>
      <c r="V141" s="10" t="s">
        <v>50</v>
      </c>
      <c r="W141" s="1" t="s">
        <v>161</v>
      </c>
      <c r="X141" s="14">
        <f t="shared" si="40"/>
        <v>440000</v>
      </c>
      <c r="Y141" s="14">
        <f t="shared" si="41"/>
        <v>400000</v>
      </c>
      <c r="Z141" s="2">
        <f t="shared" si="42"/>
        <v>0.90909090909090906</v>
      </c>
      <c r="AA141" s="19">
        <v>0</v>
      </c>
      <c r="AB141" s="1">
        <f t="shared" si="43"/>
        <v>-399999.99999999994</v>
      </c>
      <c r="AC141" s="20">
        <f t="shared" si="44"/>
        <v>1</v>
      </c>
      <c r="AD141" s="21">
        <f t="shared" si="45"/>
        <v>40000.000000000058</v>
      </c>
    </row>
    <row r="142" spans="1:30" ht="21" customHeight="1">
      <c r="A142" s="26">
        <f t="shared" si="35"/>
        <v>142</v>
      </c>
      <c r="B142" s="43">
        <v>4</v>
      </c>
      <c r="C142" s="44">
        <v>2</v>
      </c>
      <c r="D142" s="10" t="s">
        <v>70</v>
      </c>
      <c r="E142" s="24" t="s">
        <v>391</v>
      </c>
      <c r="F142" s="10">
        <v>1</v>
      </c>
      <c r="G142" s="11">
        <f t="shared" si="36"/>
        <v>8800</v>
      </c>
      <c r="H142" s="31"/>
      <c r="I142" s="1"/>
      <c r="J142" s="96"/>
      <c r="K142" s="90"/>
      <c r="L142" s="12">
        <v>45750</v>
      </c>
      <c r="M142" s="45" t="s">
        <v>229</v>
      </c>
      <c r="N142" s="1" t="s">
        <v>48</v>
      </c>
      <c r="O142" s="1"/>
      <c r="P142" s="1" t="s">
        <v>49</v>
      </c>
      <c r="Q142" s="10">
        <v>8000</v>
      </c>
      <c r="R142" s="13">
        <f t="shared" si="37"/>
        <v>8000</v>
      </c>
      <c r="S142" s="1">
        <f t="shared" si="38"/>
        <v>800</v>
      </c>
      <c r="T142" s="1">
        <v>0</v>
      </c>
      <c r="U142" s="1">
        <f t="shared" si="39"/>
        <v>0</v>
      </c>
      <c r="V142" s="10" t="s">
        <v>50</v>
      </c>
      <c r="W142" s="1" t="s">
        <v>161</v>
      </c>
      <c r="X142" s="14">
        <f t="shared" si="40"/>
        <v>4800</v>
      </c>
      <c r="Y142" s="14">
        <f t="shared" si="41"/>
        <v>4000</v>
      </c>
      <c r="Z142" s="2">
        <f t="shared" si="42"/>
        <v>0.45454545454545453</v>
      </c>
      <c r="AA142" s="19">
        <v>4000</v>
      </c>
      <c r="AB142" s="1">
        <f t="shared" si="43"/>
        <v>-4363.6363636363631</v>
      </c>
      <c r="AC142" s="20">
        <f t="shared" si="44"/>
        <v>0.54545454545454541</v>
      </c>
      <c r="AD142" s="21">
        <f t="shared" si="45"/>
        <v>436.36363636363694</v>
      </c>
    </row>
    <row r="143" spans="1:30" ht="21" customHeight="1">
      <c r="A143" s="26">
        <f t="shared" si="35"/>
        <v>143</v>
      </c>
      <c r="B143" s="43">
        <v>4</v>
      </c>
      <c r="C143" s="44">
        <v>2</v>
      </c>
      <c r="D143" s="10" t="s">
        <v>162</v>
      </c>
      <c r="E143" s="24" t="s">
        <v>392</v>
      </c>
      <c r="F143" s="10">
        <v>1</v>
      </c>
      <c r="G143" s="11">
        <f t="shared" si="36"/>
        <v>20000</v>
      </c>
      <c r="H143" s="31"/>
      <c r="I143" s="1"/>
      <c r="J143" s="96"/>
      <c r="K143" s="90"/>
      <c r="L143" s="25" t="s">
        <v>57</v>
      </c>
      <c r="M143" s="45" t="s">
        <v>57</v>
      </c>
      <c r="N143" s="1" t="s">
        <v>45</v>
      </c>
      <c r="O143" s="1" t="s">
        <v>393</v>
      </c>
      <c r="P143" s="1" t="s">
        <v>35</v>
      </c>
      <c r="Q143" s="10">
        <v>20000</v>
      </c>
      <c r="R143" s="13">
        <f t="shared" si="37"/>
        <v>20000</v>
      </c>
      <c r="S143" s="1">
        <v>0</v>
      </c>
      <c r="T143" s="1">
        <v>0</v>
      </c>
      <c r="U143" s="1">
        <f t="shared" si="39"/>
        <v>0</v>
      </c>
      <c r="V143" s="10" t="s">
        <v>50</v>
      </c>
      <c r="W143" s="1" t="s">
        <v>161</v>
      </c>
      <c r="X143" s="14">
        <f t="shared" si="40"/>
        <v>12880</v>
      </c>
      <c r="Y143" s="14">
        <f t="shared" si="41"/>
        <v>12880</v>
      </c>
      <c r="Z143" s="2">
        <f t="shared" si="42"/>
        <v>0.64400000000000002</v>
      </c>
      <c r="AA143" s="19">
        <v>7120</v>
      </c>
      <c r="AB143" s="1">
        <f t="shared" si="43"/>
        <v>-11709.090909090908</v>
      </c>
      <c r="AC143" s="20">
        <f t="shared" si="44"/>
        <v>0.64400000000000002</v>
      </c>
      <c r="AD143" s="21">
        <f t="shared" si="45"/>
        <v>1170.9090909090919</v>
      </c>
    </row>
    <row r="144" spans="1:30" ht="21" customHeight="1">
      <c r="A144" s="26">
        <f t="shared" si="35"/>
        <v>144</v>
      </c>
      <c r="B144" s="43">
        <v>4</v>
      </c>
      <c r="C144" s="44">
        <v>3</v>
      </c>
      <c r="D144" s="10" t="s">
        <v>37</v>
      </c>
      <c r="E144" s="24" t="s">
        <v>394</v>
      </c>
      <c r="F144" s="10">
        <v>1</v>
      </c>
      <c r="G144" s="11">
        <f t="shared" si="36"/>
        <v>16500</v>
      </c>
      <c r="H144" s="31"/>
      <c r="I144" s="18"/>
      <c r="J144" s="95">
        <v>45855</v>
      </c>
      <c r="K144" s="90"/>
      <c r="L144" s="12">
        <v>45750</v>
      </c>
      <c r="M144" s="12">
        <v>45750</v>
      </c>
      <c r="N144" s="1" t="s">
        <v>38</v>
      </c>
      <c r="O144" s="1" t="s">
        <v>39</v>
      </c>
      <c r="P144" s="1" t="s">
        <v>64</v>
      </c>
      <c r="Q144" s="10">
        <v>15000</v>
      </c>
      <c r="R144" s="13">
        <f t="shared" si="37"/>
        <v>15000</v>
      </c>
      <c r="S144" s="1">
        <f t="shared" ref="S144:S146" si="46">R144*0.1</f>
        <v>1500</v>
      </c>
      <c r="T144" s="1">
        <v>0</v>
      </c>
      <c r="U144" s="1">
        <f t="shared" si="39"/>
        <v>0</v>
      </c>
      <c r="V144" s="10" t="s">
        <v>50</v>
      </c>
      <c r="W144" s="1" t="s">
        <v>104</v>
      </c>
      <c r="X144" s="14">
        <f t="shared" si="40"/>
        <v>9350</v>
      </c>
      <c r="Y144" s="14">
        <f t="shared" si="41"/>
        <v>7850</v>
      </c>
      <c r="Z144" s="2">
        <f t="shared" si="42"/>
        <v>0.47575757575757577</v>
      </c>
      <c r="AA144" s="19">
        <v>7150</v>
      </c>
      <c r="AB144" s="1">
        <f t="shared" si="43"/>
        <v>-8500</v>
      </c>
      <c r="AC144" s="20">
        <f t="shared" si="44"/>
        <v>0.56666666666666676</v>
      </c>
      <c r="AD144" s="21">
        <f t="shared" si="45"/>
        <v>850.00000000000091</v>
      </c>
    </row>
    <row r="145" spans="1:30" ht="21" customHeight="1">
      <c r="A145" s="26">
        <f t="shared" si="35"/>
        <v>145</v>
      </c>
      <c r="B145" s="43">
        <v>4</v>
      </c>
      <c r="C145" s="44">
        <v>3</v>
      </c>
      <c r="D145" s="10" t="s">
        <v>47</v>
      </c>
      <c r="E145" s="24" t="s">
        <v>148</v>
      </c>
      <c r="F145" s="10">
        <v>2</v>
      </c>
      <c r="G145" s="11">
        <f t="shared" si="36"/>
        <v>52800</v>
      </c>
      <c r="H145" s="31"/>
      <c r="I145" s="1"/>
      <c r="J145" s="96"/>
      <c r="K145" s="90"/>
      <c r="L145" s="12">
        <v>45750</v>
      </c>
      <c r="M145" s="45" t="s">
        <v>229</v>
      </c>
      <c r="N145" s="1" t="s">
        <v>38</v>
      </c>
      <c r="O145" s="1" t="s">
        <v>395</v>
      </c>
      <c r="P145" s="1" t="s">
        <v>396</v>
      </c>
      <c r="Q145" s="10">
        <v>24000</v>
      </c>
      <c r="R145" s="13">
        <f t="shared" si="37"/>
        <v>48000</v>
      </c>
      <c r="S145" s="1">
        <f t="shared" si="46"/>
        <v>4800</v>
      </c>
      <c r="T145" s="1">
        <v>0</v>
      </c>
      <c r="U145" s="1">
        <f t="shared" si="39"/>
        <v>0</v>
      </c>
      <c r="V145" s="10" t="s">
        <v>50</v>
      </c>
      <c r="W145" s="1" t="s">
        <v>387</v>
      </c>
      <c r="X145" s="14">
        <f t="shared" si="40"/>
        <v>-13750</v>
      </c>
      <c r="Y145" s="14">
        <f t="shared" si="41"/>
        <v>-18550</v>
      </c>
      <c r="Z145" s="2">
        <f t="shared" si="42"/>
        <v>-0.35132575757575757</v>
      </c>
      <c r="AA145" s="19">
        <v>66550</v>
      </c>
      <c r="AB145" s="1">
        <f t="shared" si="43"/>
        <v>12500</v>
      </c>
      <c r="AC145" s="20">
        <f t="shared" si="44"/>
        <v>-0.26041666666666669</v>
      </c>
      <c r="AD145" s="21">
        <f t="shared" si="45"/>
        <v>-1250</v>
      </c>
    </row>
    <row r="146" spans="1:30" ht="21" customHeight="1">
      <c r="A146" s="26">
        <f t="shared" si="35"/>
        <v>146</v>
      </c>
      <c r="B146" s="43">
        <v>4</v>
      </c>
      <c r="C146" s="44">
        <v>3</v>
      </c>
      <c r="D146" s="10" t="s">
        <v>47</v>
      </c>
      <c r="E146" s="24" t="s">
        <v>42</v>
      </c>
      <c r="F146" s="10">
        <v>1</v>
      </c>
      <c r="G146" s="11">
        <f t="shared" si="36"/>
        <v>33000</v>
      </c>
      <c r="H146" s="31"/>
      <c r="I146" s="1"/>
      <c r="J146" s="96"/>
      <c r="K146" s="90"/>
      <c r="L146" s="12">
        <v>45750</v>
      </c>
      <c r="M146" s="45" t="s">
        <v>229</v>
      </c>
      <c r="N146" s="1" t="s">
        <v>42</v>
      </c>
      <c r="O146" s="1" t="s">
        <v>397</v>
      </c>
      <c r="P146" s="1" t="s">
        <v>109</v>
      </c>
      <c r="Q146" s="10">
        <v>30000</v>
      </c>
      <c r="R146" s="13">
        <f t="shared" si="37"/>
        <v>30000</v>
      </c>
      <c r="S146" s="1">
        <f t="shared" si="46"/>
        <v>3000</v>
      </c>
      <c r="T146" s="1">
        <v>0</v>
      </c>
      <c r="U146" s="1">
        <f t="shared" si="39"/>
        <v>0</v>
      </c>
      <c r="V146" s="10" t="s">
        <v>50</v>
      </c>
      <c r="W146" s="1" t="s">
        <v>387</v>
      </c>
      <c r="X146" s="14">
        <f t="shared" si="40"/>
        <v>33000</v>
      </c>
      <c r="Y146" s="14">
        <f t="shared" si="41"/>
        <v>30000</v>
      </c>
      <c r="Z146" s="2">
        <f t="shared" si="42"/>
        <v>0.90909090909090906</v>
      </c>
      <c r="AA146" s="19">
        <v>0</v>
      </c>
      <c r="AB146" s="1">
        <f t="shared" si="43"/>
        <v>-29999.999999999996</v>
      </c>
      <c r="AC146" s="20">
        <f t="shared" si="44"/>
        <v>1</v>
      </c>
      <c r="AD146" s="21">
        <f t="shared" si="45"/>
        <v>3000.0000000000036</v>
      </c>
    </row>
    <row r="147" spans="1:30" ht="21" customHeight="1">
      <c r="A147" s="26">
        <f t="shared" si="35"/>
        <v>147</v>
      </c>
      <c r="B147" s="43">
        <v>4</v>
      </c>
      <c r="C147" s="44">
        <v>3</v>
      </c>
      <c r="D147" s="10" t="s">
        <v>105</v>
      </c>
      <c r="E147" s="24" t="s">
        <v>105</v>
      </c>
      <c r="F147" s="10">
        <v>2</v>
      </c>
      <c r="G147" s="11">
        <f t="shared" si="36"/>
        <v>24000</v>
      </c>
      <c r="H147" s="31"/>
      <c r="I147" s="1"/>
      <c r="J147" s="96"/>
      <c r="K147" s="90"/>
      <c r="L147" s="25" t="s">
        <v>57</v>
      </c>
      <c r="M147" s="25" t="s">
        <v>57</v>
      </c>
      <c r="N147" s="1" t="s">
        <v>45</v>
      </c>
      <c r="O147" s="1" t="s">
        <v>34</v>
      </c>
      <c r="P147" s="1" t="s">
        <v>64</v>
      </c>
      <c r="Q147" s="10">
        <v>12000</v>
      </c>
      <c r="R147" s="13">
        <f t="shared" si="37"/>
        <v>24000</v>
      </c>
      <c r="S147" s="1">
        <v>0</v>
      </c>
      <c r="T147" s="1">
        <v>0</v>
      </c>
      <c r="U147" s="1">
        <f t="shared" si="39"/>
        <v>0</v>
      </c>
      <c r="V147" s="10" t="s">
        <v>50</v>
      </c>
      <c r="W147" s="1" t="s">
        <v>105</v>
      </c>
      <c r="X147" s="14">
        <f t="shared" si="40"/>
        <v>9400</v>
      </c>
      <c r="Y147" s="14">
        <f t="shared" si="41"/>
        <v>9400</v>
      </c>
      <c r="Z147" s="2">
        <f t="shared" si="42"/>
        <v>0.39166666666666666</v>
      </c>
      <c r="AA147" s="19">
        <v>14600</v>
      </c>
      <c r="AB147" s="1">
        <f t="shared" si="43"/>
        <v>-8545.4545454545441</v>
      </c>
      <c r="AC147" s="20">
        <f t="shared" si="44"/>
        <v>0.39166666666666666</v>
      </c>
      <c r="AD147" s="21">
        <f t="shared" si="45"/>
        <v>854.54545454545587</v>
      </c>
    </row>
    <row r="148" spans="1:30" ht="21" customHeight="1">
      <c r="A148" s="26">
        <f t="shared" si="35"/>
        <v>148</v>
      </c>
      <c r="B148" s="43">
        <v>4</v>
      </c>
      <c r="C148" s="44">
        <v>8</v>
      </c>
      <c r="D148" s="10" t="s">
        <v>37</v>
      </c>
      <c r="E148" s="9" t="s">
        <v>398</v>
      </c>
      <c r="F148" s="10">
        <v>1</v>
      </c>
      <c r="G148" s="11">
        <f t="shared" si="36"/>
        <v>38500</v>
      </c>
      <c r="H148" s="31"/>
      <c r="I148" s="18"/>
      <c r="J148" s="95">
        <v>45855</v>
      </c>
      <c r="K148" s="90"/>
      <c r="L148" s="12">
        <v>45762</v>
      </c>
      <c r="M148" s="12">
        <v>45762</v>
      </c>
      <c r="N148" s="1" t="s">
        <v>125</v>
      </c>
      <c r="O148" s="1"/>
      <c r="P148" s="1" t="s">
        <v>126</v>
      </c>
      <c r="Q148" s="10">
        <v>35000</v>
      </c>
      <c r="R148" s="13">
        <f t="shared" si="37"/>
        <v>35000</v>
      </c>
      <c r="S148" s="1">
        <f t="shared" ref="S148:S151" si="47">R148*0.1</f>
        <v>3500</v>
      </c>
      <c r="T148" s="1">
        <v>0</v>
      </c>
      <c r="U148" s="1">
        <f t="shared" si="39"/>
        <v>0</v>
      </c>
      <c r="V148" s="10" t="s">
        <v>50</v>
      </c>
      <c r="W148" s="1" t="s">
        <v>104</v>
      </c>
      <c r="X148" s="14">
        <f t="shared" si="40"/>
        <v>19300</v>
      </c>
      <c r="Y148" s="14">
        <f t="shared" si="41"/>
        <v>15800</v>
      </c>
      <c r="Z148" s="2">
        <f t="shared" si="42"/>
        <v>0.41038961038961042</v>
      </c>
      <c r="AA148" s="19">
        <v>19200</v>
      </c>
      <c r="AB148" s="1">
        <f t="shared" si="43"/>
        <v>-17545.454545454548</v>
      </c>
      <c r="AC148" s="22">
        <f t="shared" si="44"/>
        <v>0.50129870129870135</v>
      </c>
      <c r="AD148" s="23">
        <f t="shared" si="45"/>
        <v>1754.5454545454522</v>
      </c>
    </row>
    <row r="149" spans="1:30" ht="21" customHeight="1">
      <c r="A149" s="26">
        <f t="shared" si="35"/>
        <v>149</v>
      </c>
      <c r="B149" s="43">
        <v>4</v>
      </c>
      <c r="C149" s="44">
        <v>8</v>
      </c>
      <c r="D149" s="1" t="s">
        <v>47</v>
      </c>
      <c r="E149" s="9" t="s">
        <v>110</v>
      </c>
      <c r="F149" s="10">
        <v>1</v>
      </c>
      <c r="G149" s="11">
        <f t="shared" si="36"/>
        <v>473000</v>
      </c>
      <c r="H149" s="31"/>
      <c r="I149" s="18"/>
      <c r="J149" s="95">
        <v>45758</v>
      </c>
      <c r="K149" s="90"/>
      <c r="L149" s="12">
        <v>45755</v>
      </c>
      <c r="M149" s="12">
        <v>45755</v>
      </c>
      <c r="N149" s="1" t="s">
        <v>43</v>
      </c>
      <c r="O149" s="1" t="s">
        <v>111</v>
      </c>
      <c r="P149" s="1" t="s">
        <v>44</v>
      </c>
      <c r="Q149" s="10">
        <v>430000</v>
      </c>
      <c r="R149" s="13">
        <f t="shared" si="37"/>
        <v>430000</v>
      </c>
      <c r="S149" s="1">
        <f t="shared" si="47"/>
        <v>43000</v>
      </c>
      <c r="T149" s="1">
        <v>0</v>
      </c>
      <c r="U149" s="1">
        <f t="shared" si="39"/>
        <v>0</v>
      </c>
      <c r="V149" s="10" t="s">
        <v>46</v>
      </c>
      <c r="W149" s="1" t="s">
        <v>248</v>
      </c>
      <c r="X149" s="14">
        <f t="shared" si="40"/>
        <v>253300</v>
      </c>
      <c r="Y149" s="14">
        <f t="shared" si="41"/>
        <v>210300</v>
      </c>
      <c r="Z149" s="2">
        <f t="shared" si="42"/>
        <v>0.44460887949260042</v>
      </c>
      <c r="AA149" s="19">
        <v>219700</v>
      </c>
      <c r="AB149" s="1">
        <f t="shared" si="43"/>
        <v>-230272.72727272724</v>
      </c>
      <c r="AC149" s="22">
        <f t="shared" si="44"/>
        <v>0.53551797040169136</v>
      </c>
      <c r="AD149" s="23">
        <f t="shared" si="45"/>
        <v>23027.272727272764</v>
      </c>
    </row>
    <row r="150" spans="1:30" ht="21" customHeight="1">
      <c r="A150" s="26">
        <f t="shared" si="35"/>
        <v>150</v>
      </c>
      <c r="B150" s="43">
        <v>4</v>
      </c>
      <c r="C150" s="44">
        <v>10</v>
      </c>
      <c r="D150" s="1" t="s">
        <v>37</v>
      </c>
      <c r="E150" s="9" t="s">
        <v>399</v>
      </c>
      <c r="F150" s="10">
        <v>2</v>
      </c>
      <c r="G150" s="11">
        <f t="shared" si="36"/>
        <v>37400</v>
      </c>
      <c r="H150" s="31"/>
      <c r="I150" s="18"/>
      <c r="J150" s="95">
        <v>45765</v>
      </c>
      <c r="K150" s="90"/>
      <c r="L150" s="12">
        <v>45762</v>
      </c>
      <c r="M150" s="12">
        <v>45754</v>
      </c>
      <c r="N150" s="1" t="s">
        <v>45</v>
      </c>
      <c r="O150" s="1" t="s">
        <v>400</v>
      </c>
      <c r="P150" s="1" t="s">
        <v>35</v>
      </c>
      <c r="Q150" s="10">
        <v>17000</v>
      </c>
      <c r="R150" s="13">
        <f t="shared" si="37"/>
        <v>34000</v>
      </c>
      <c r="S150" s="1">
        <f t="shared" si="47"/>
        <v>3400</v>
      </c>
      <c r="T150" s="1">
        <v>0</v>
      </c>
      <c r="U150" s="1">
        <f t="shared" si="39"/>
        <v>0</v>
      </c>
      <c r="V150" s="10" t="s">
        <v>36</v>
      </c>
      <c r="W150" s="1" t="s">
        <v>358</v>
      </c>
      <c r="X150" s="14">
        <f t="shared" si="40"/>
        <v>12820</v>
      </c>
      <c r="Y150" s="14">
        <f t="shared" si="41"/>
        <v>9420</v>
      </c>
      <c r="Z150" s="2">
        <f t="shared" si="42"/>
        <v>0.25187165775401071</v>
      </c>
      <c r="AA150" s="19">
        <v>24580</v>
      </c>
      <c r="AB150" s="1">
        <f t="shared" si="43"/>
        <v>-11654.545454545456</v>
      </c>
      <c r="AC150" s="20">
        <f t="shared" si="44"/>
        <v>0.34278074866310165</v>
      </c>
      <c r="AD150" s="21">
        <f t="shared" si="45"/>
        <v>1165.4545454545441</v>
      </c>
    </row>
    <row r="151" spans="1:30" ht="21" customHeight="1">
      <c r="A151" s="26">
        <f t="shared" si="35"/>
        <v>151</v>
      </c>
      <c r="B151" s="43">
        <v>4</v>
      </c>
      <c r="C151" s="44">
        <v>10</v>
      </c>
      <c r="D151" s="1" t="s">
        <v>37</v>
      </c>
      <c r="E151" s="9" t="s">
        <v>401</v>
      </c>
      <c r="F151" s="10">
        <v>1</v>
      </c>
      <c r="G151" s="11">
        <f t="shared" si="36"/>
        <v>16500</v>
      </c>
      <c r="H151" s="31"/>
      <c r="I151" s="18"/>
      <c r="J151" s="95">
        <v>45835</v>
      </c>
      <c r="K151" s="90"/>
      <c r="L151" s="12">
        <v>45762</v>
      </c>
      <c r="M151" s="12">
        <v>45762</v>
      </c>
      <c r="N151" s="1" t="s">
        <v>38</v>
      </c>
      <c r="O151" s="1" t="s">
        <v>39</v>
      </c>
      <c r="P151" s="1" t="s">
        <v>83</v>
      </c>
      <c r="Q151" s="10">
        <v>15000</v>
      </c>
      <c r="R151" s="13">
        <f t="shared" si="37"/>
        <v>15000</v>
      </c>
      <c r="S151" s="1">
        <f t="shared" si="47"/>
        <v>1500</v>
      </c>
      <c r="T151" s="1">
        <v>0</v>
      </c>
      <c r="U151" s="1">
        <f t="shared" si="39"/>
        <v>0</v>
      </c>
      <c r="V151" s="10" t="s">
        <v>36</v>
      </c>
      <c r="W151" s="1" t="s">
        <v>104</v>
      </c>
      <c r="X151" s="14">
        <f t="shared" si="40"/>
        <v>16500</v>
      </c>
      <c r="Y151" s="14">
        <f t="shared" si="41"/>
        <v>15000</v>
      </c>
      <c r="Z151" s="2">
        <f t="shared" si="42"/>
        <v>0.90909090909090906</v>
      </c>
      <c r="AA151" s="19">
        <v>0</v>
      </c>
      <c r="AB151" s="1">
        <f t="shared" si="43"/>
        <v>-14999.999999999998</v>
      </c>
      <c r="AC151" s="20">
        <f t="shared" si="44"/>
        <v>1</v>
      </c>
      <c r="AD151" s="21">
        <f t="shared" si="45"/>
        <v>1500.0000000000018</v>
      </c>
    </row>
    <row r="152" spans="1:30" ht="21" customHeight="1">
      <c r="A152" s="26">
        <f t="shared" si="35"/>
        <v>152</v>
      </c>
      <c r="B152" s="43">
        <v>4</v>
      </c>
      <c r="C152" s="44">
        <v>10</v>
      </c>
      <c r="D152" s="1" t="s">
        <v>37</v>
      </c>
      <c r="E152" s="9" t="s">
        <v>402</v>
      </c>
      <c r="F152" s="10">
        <v>1</v>
      </c>
      <c r="G152" s="11">
        <f t="shared" si="36"/>
        <v>15000</v>
      </c>
      <c r="H152" s="31"/>
      <c r="I152" s="18"/>
      <c r="J152" s="95">
        <v>45790</v>
      </c>
      <c r="K152" s="90"/>
      <c r="L152" s="25" t="s">
        <v>57</v>
      </c>
      <c r="M152" s="25" t="s">
        <v>57</v>
      </c>
      <c r="N152" s="1" t="s">
        <v>38</v>
      </c>
      <c r="O152" s="1" t="s">
        <v>39</v>
      </c>
      <c r="P152" s="1" t="s">
        <v>64</v>
      </c>
      <c r="Q152" s="10">
        <v>15000</v>
      </c>
      <c r="R152" s="13">
        <f t="shared" si="37"/>
        <v>15000</v>
      </c>
      <c r="S152" s="1">
        <v>0</v>
      </c>
      <c r="T152" s="1">
        <v>0</v>
      </c>
      <c r="U152" s="1">
        <f t="shared" si="39"/>
        <v>0</v>
      </c>
      <c r="V152" s="10" t="s">
        <v>36</v>
      </c>
      <c r="W152" s="1" t="s">
        <v>104</v>
      </c>
      <c r="X152" s="14">
        <f t="shared" si="40"/>
        <v>15000</v>
      </c>
      <c r="Y152" s="14">
        <f t="shared" si="41"/>
        <v>15000</v>
      </c>
      <c r="Z152" s="2">
        <f t="shared" si="42"/>
        <v>1</v>
      </c>
      <c r="AA152" s="19">
        <v>0</v>
      </c>
      <c r="AB152" s="1">
        <f t="shared" si="43"/>
        <v>-13636.363636363636</v>
      </c>
      <c r="AC152" s="20">
        <f t="shared" si="44"/>
        <v>1</v>
      </c>
      <c r="AD152" s="21">
        <f t="shared" si="45"/>
        <v>1363.636363636364</v>
      </c>
    </row>
    <row r="153" spans="1:30" ht="21" customHeight="1">
      <c r="A153" s="26">
        <f t="shared" si="35"/>
        <v>153</v>
      </c>
      <c r="B153" s="43">
        <v>4</v>
      </c>
      <c r="C153" s="44">
        <v>10</v>
      </c>
      <c r="D153" s="1" t="s">
        <v>37</v>
      </c>
      <c r="E153" s="9" t="s">
        <v>403</v>
      </c>
      <c r="F153" s="10">
        <v>1</v>
      </c>
      <c r="G153" s="11">
        <f t="shared" si="36"/>
        <v>15000</v>
      </c>
      <c r="H153" s="31"/>
      <c r="I153" s="18"/>
      <c r="J153" s="95">
        <v>45790</v>
      </c>
      <c r="K153" s="90"/>
      <c r="L153" s="25" t="s">
        <v>57</v>
      </c>
      <c r="M153" s="25" t="s">
        <v>57</v>
      </c>
      <c r="N153" s="1" t="s">
        <v>38</v>
      </c>
      <c r="O153" s="1" t="s">
        <v>39</v>
      </c>
      <c r="P153" s="1" t="s">
        <v>64</v>
      </c>
      <c r="Q153" s="10">
        <v>15000</v>
      </c>
      <c r="R153" s="13">
        <f t="shared" si="37"/>
        <v>15000</v>
      </c>
      <c r="S153" s="1">
        <v>0</v>
      </c>
      <c r="T153" s="1">
        <v>0</v>
      </c>
      <c r="U153" s="1">
        <f t="shared" si="39"/>
        <v>0</v>
      </c>
      <c r="V153" s="10" t="s">
        <v>36</v>
      </c>
      <c r="W153" s="1" t="s">
        <v>104</v>
      </c>
      <c r="X153" s="14">
        <f t="shared" si="40"/>
        <v>15000</v>
      </c>
      <c r="Y153" s="14">
        <f t="shared" si="41"/>
        <v>15000</v>
      </c>
      <c r="Z153" s="2">
        <f t="shared" si="42"/>
        <v>1</v>
      </c>
      <c r="AA153" s="19">
        <v>0</v>
      </c>
      <c r="AB153" s="1">
        <f t="shared" si="43"/>
        <v>-13636.363636363636</v>
      </c>
      <c r="AC153" s="20">
        <f t="shared" si="44"/>
        <v>1</v>
      </c>
      <c r="AD153" s="21">
        <f t="shared" si="45"/>
        <v>1363.636363636364</v>
      </c>
    </row>
    <row r="154" spans="1:30" ht="21" customHeight="1">
      <c r="A154" s="26">
        <f t="shared" si="35"/>
        <v>154</v>
      </c>
      <c r="B154" s="43">
        <v>4</v>
      </c>
      <c r="C154" s="44">
        <v>10</v>
      </c>
      <c r="D154" s="1" t="s">
        <v>47</v>
      </c>
      <c r="E154" s="9" t="s">
        <v>404</v>
      </c>
      <c r="F154" s="10">
        <v>1</v>
      </c>
      <c r="G154" s="11">
        <f t="shared" si="36"/>
        <v>20900</v>
      </c>
      <c r="H154" s="31"/>
      <c r="I154" s="18"/>
      <c r="J154" s="95">
        <v>45779</v>
      </c>
      <c r="K154" s="90"/>
      <c r="L154" s="25" t="s">
        <v>228</v>
      </c>
      <c r="M154" s="12">
        <v>45776</v>
      </c>
      <c r="N154" s="1" t="s">
        <v>38</v>
      </c>
      <c r="O154" s="1" t="s">
        <v>39</v>
      </c>
      <c r="P154" s="1" t="s">
        <v>83</v>
      </c>
      <c r="Q154" s="10">
        <v>19000</v>
      </c>
      <c r="R154" s="13">
        <f t="shared" si="37"/>
        <v>19000</v>
      </c>
      <c r="S154" s="1">
        <f t="shared" ref="S154:S175" si="48">R154*0.1</f>
        <v>1900</v>
      </c>
      <c r="T154" s="1">
        <v>0</v>
      </c>
      <c r="U154" s="1">
        <f t="shared" si="39"/>
        <v>0</v>
      </c>
      <c r="V154" s="10" t="s">
        <v>36</v>
      </c>
      <c r="W154" s="1" t="s">
        <v>196</v>
      </c>
      <c r="X154" s="14">
        <f t="shared" si="40"/>
        <v>20900</v>
      </c>
      <c r="Y154" s="14">
        <f t="shared" si="41"/>
        <v>19000</v>
      </c>
      <c r="Z154" s="2">
        <f t="shared" si="42"/>
        <v>0.90909090909090906</v>
      </c>
      <c r="AA154" s="19">
        <v>0</v>
      </c>
      <c r="AB154" s="1">
        <f t="shared" si="43"/>
        <v>-19000</v>
      </c>
      <c r="AC154" s="20">
        <f t="shared" si="44"/>
        <v>1</v>
      </c>
      <c r="AD154" s="21">
        <f t="shared" si="45"/>
        <v>1900</v>
      </c>
    </row>
    <row r="155" spans="1:30" ht="21" customHeight="1">
      <c r="A155" s="26">
        <f t="shared" si="35"/>
        <v>155</v>
      </c>
      <c r="B155" s="43">
        <v>4</v>
      </c>
      <c r="C155" s="44">
        <v>10</v>
      </c>
      <c r="D155" s="1" t="s">
        <v>70</v>
      </c>
      <c r="E155" s="9" t="s">
        <v>148</v>
      </c>
      <c r="F155" s="10">
        <v>2</v>
      </c>
      <c r="G155" s="11">
        <f t="shared" si="36"/>
        <v>55000</v>
      </c>
      <c r="H155" s="31"/>
      <c r="I155" s="18"/>
      <c r="J155" s="95">
        <v>45792</v>
      </c>
      <c r="K155" s="90"/>
      <c r="L155" s="12">
        <v>45762</v>
      </c>
      <c r="M155" s="12">
        <v>45762</v>
      </c>
      <c r="N155" s="1" t="s">
        <v>38</v>
      </c>
      <c r="O155" s="1" t="s">
        <v>405</v>
      </c>
      <c r="P155" s="1" t="s">
        <v>150</v>
      </c>
      <c r="Q155" s="10">
        <v>23000</v>
      </c>
      <c r="R155" s="13">
        <f t="shared" si="37"/>
        <v>46000</v>
      </c>
      <c r="S155" s="1">
        <f t="shared" si="48"/>
        <v>4600</v>
      </c>
      <c r="T155" s="1">
        <v>4000</v>
      </c>
      <c r="U155" s="1">
        <f t="shared" si="39"/>
        <v>400</v>
      </c>
      <c r="V155" s="10" t="s">
        <v>41</v>
      </c>
      <c r="W155" s="1" t="s">
        <v>275</v>
      </c>
      <c r="X155" s="14">
        <f t="shared" si="40"/>
        <v>55000</v>
      </c>
      <c r="Y155" s="14">
        <f t="shared" si="41"/>
        <v>50400</v>
      </c>
      <c r="Z155" s="2">
        <f t="shared" si="42"/>
        <v>0.91636363636363638</v>
      </c>
      <c r="AA155" s="19">
        <v>0</v>
      </c>
      <c r="AB155" s="1">
        <f t="shared" si="43"/>
        <v>-49999.999999999993</v>
      </c>
      <c r="AC155" s="20">
        <f t="shared" si="44"/>
        <v>1</v>
      </c>
      <c r="AD155" s="21">
        <f t="shared" si="45"/>
        <v>5000.0000000000073</v>
      </c>
    </row>
    <row r="156" spans="1:30" ht="21" customHeight="1">
      <c r="A156" s="26">
        <f t="shared" si="35"/>
        <v>156</v>
      </c>
      <c r="B156" s="43">
        <v>4</v>
      </c>
      <c r="C156" s="44">
        <v>10</v>
      </c>
      <c r="D156" s="1" t="s">
        <v>37</v>
      </c>
      <c r="E156" s="9" t="s">
        <v>406</v>
      </c>
      <c r="F156" s="10">
        <v>1</v>
      </c>
      <c r="G156" s="11">
        <f t="shared" si="36"/>
        <v>49500</v>
      </c>
      <c r="H156" s="31"/>
      <c r="I156" s="18"/>
      <c r="J156" s="95">
        <v>45798</v>
      </c>
      <c r="K156" s="90"/>
      <c r="L156" s="12">
        <v>45762</v>
      </c>
      <c r="M156" s="12">
        <v>45762</v>
      </c>
      <c r="N156" s="1" t="s">
        <v>42</v>
      </c>
      <c r="O156" s="1"/>
      <c r="P156" s="1" t="s">
        <v>72</v>
      </c>
      <c r="Q156" s="10">
        <v>25000</v>
      </c>
      <c r="R156" s="13">
        <f t="shared" si="37"/>
        <v>25000</v>
      </c>
      <c r="S156" s="1">
        <f t="shared" si="48"/>
        <v>2500</v>
      </c>
      <c r="T156" s="1">
        <v>20000</v>
      </c>
      <c r="U156" s="1">
        <f t="shared" si="39"/>
        <v>2000</v>
      </c>
      <c r="V156" s="10" t="s">
        <v>41</v>
      </c>
      <c r="W156" s="1" t="s">
        <v>114</v>
      </c>
      <c r="X156" s="14">
        <f t="shared" si="40"/>
        <v>49500</v>
      </c>
      <c r="Y156" s="14">
        <f t="shared" si="41"/>
        <v>47000</v>
      </c>
      <c r="Z156" s="2">
        <f t="shared" si="42"/>
        <v>0.9494949494949495</v>
      </c>
      <c r="AA156" s="19">
        <v>0</v>
      </c>
      <c r="AB156" s="1">
        <f t="shared" si="43"/>
        <v>-45000</v>
      </c>
      <c r="AC156" s="20">
        <f t="shared" si="44"/>
        <v>1</v>
      </c>
      <c r="AD156" s="21">
        <f t="shared" si="45"/>
        <v>4500</v>
      </c>
    </row>
    <row r="157" spans="1:30" ht="21" customHeight="1">
      <c r="A157" s="26">
        <f t="shared" si="35"/>
        <v>157</v>
      </c>
      <c r="B157" s="43">
        <v>4</v>
      </c>
      <c r="C157" s="44">
        <v>10</v>
      </c>
      <c r="D157" s="1" t="s">
        <v>37</v>
      </c>
      <c r="E157" s="9" t="s">
        <v>407</v>
      </c>
      <c r="F157" s="10">
        <v>2</v>
      </c>
      <c r="G157" s="11">
        <f t="shared" si="36"/>
        <v>33000</v>
      </c>
      <c r="H157" s="31"/>
      <c r="I157" s="18"/>
      <c r="J157" s="95">
        <v>45798</v>
      </c>
      <c r="K157" s="90"/>
      <c r="L157" s="12">
        <v>45762</v>
      </c>
      <c r="M157" s="12">
        <v>45762</v>
      </c>
      <c r="N157" s="1" t="s">
        <v>38</v>
      </c>
      <c r="O157" s="1" t="s">
        <v>39</v>
      </c>
      <c r="P157" s="1" t="s">
        <v>64</v>
      </c>
      <c r="Q157" s="10">
        <v>15000</v>
      </c>
      <c r="R157" s="13">
        <f t="shared" si="37"/>
        <v>30000</v>
      </c>
      <c r="S157" s="1">
        <f t="shared" si="48"/>
        <v>3000</v>
      </c>
      <c r="T157" s="1">
        <v>0</v>
      </c>
      <c r="U157" s="1">
        <f t="shared" si="39"/>
        <v>0</v>
      </c>
      <c r="V157" s="10" t="s">
        <v>41</v>
      </c>
      <c r="W157" s="1" t="s">
        <v>114</v>
      </c>
      <c r="X157" s="14">
        <f t="shared" si="40"/>
        <v>33000</v>
      </c>
      <c r="Y157" s="14">
        <f t="shared" si="41"/>
        <v>30000</v>
      </c>
      <c r="Z157" s="2">
        <f t="shared" si="42"/>
        <v>0.90909090909090906</v>
      </c>
      <c r="AA157" s="19">
        <v>0</v>
      </c>
      <c r="AB157" s="1">
        <f t="shared" si="43"/>
        <v>-29999.999999999996</v>
      </c>
      <c r="AC157" s="20">
        <f t="shared" si="44"/>
        <v>1</v>
      </c>
      <c r="AD157" s="21">
        <f t="shared" si="45"/>
        <v>3000.0000000000036</v>
      </c>
    </row>
    <row r="158" spans="1:30" ht="21" customHeight="1">
      <c r="A158" s="26">
        <f t="shared" si="35"/>
        <v>158</v>
      </c>
      <c r="B158" s="43">
        <v>4</v>
      </c>
      <c r="C158" s="44">
        <v>10</v>
      </c>
      <c r="D158" s="1" t="s">
        <v>37</v>
      </c>
      <c r="E158" s="9" t="s">
        <v>408</v>
      </c>
      <c r="F158" s="10">
        <v>3</v>
      </c>
      <c r="G158" s="11">
        <f t="shared" si="36"/>
        <v>115500</v>
      </c>
      <c r="H158" s="31"/>
      <c r="I158" s="18"/>
      <c r="J158" s="95">
        <v>45771</v>
      </c>
      <c r="K158" s="90"/>
      <c r="L158" s="12">
        <v>45762</v>
      </c>
      <c r="M158" s="12">
        <v>45762</v>
      </c>
      <c r="N158" s="1" t="s">
        <v>125</v>
      </c>
      <c r="O158" s="1" t="s">
        <v>409</v>
      </c>
      <c r="P158" s="1" t="s">
        <v>126</v>
      </c>
      <c r="Q158" s="10">
        <v>35000</v>
      </c>
      <c r="R158" s="13">
        <f t="shared" si="37"/>
        <v>105000</v>
      </c>
      <c r="S158" s="1">
        <f t="shared" si="48"/>
        <v>10500</v>
      </c>
      <c r="T158" s="1">
        <v>0</v>
      </c>
      <c r="U158" s="1">
        <f t="shared" si="39"/>
        <v>0</v>
      </c>
      <c r="V158" s="10" t="s">
        <v>41</v>
      </c>
      <c r="W158" s="1" t="s">
        <v>410</v>
      </c>
      <c r="X158" s="14">
        <f t="shared" si="40"/>
        <v>115500</v>
      </c>
      <c r="Y158" s="14">
        <f t="shared" si="41"/>
        <v>105000</v>
      </c>
      <c r="Z158" s="2">
        <f t="shared" si="42"/>
        <v>0.90909090909090906</v>
      </c>
      <c r="AA158" s="19">
        <v>0</v>
      </c>
      <c r="AB158" s="1">
        <f t="shared" si="43"/>
        <v>-104999.99999999999</v>
      </c>
      <c r="AC158" s="20">
        <f t="shared" si="44"/>
        <v>1</v>
      </c>
      <c r="AD158" s="21">
        <f t="shared" si="45"/>
        <v>10500.000000000015</v>
      </c>
    </row>
    <row r="159" spans="1:30" ht="21" customHeight="1">
      <c r="A159" s="26">
        <f t="shared" si="35"/>
        <v>159</v>
      </c>
      <c r="B159" s="43">
        <v>4</v>
      </c>
      <c r="C159" s="44">
        <v>10</v>
      </c>
      <c r="D159" s="1" t="s">
        <v>37</v>
      </c>
      <c r="E159" s="9" t="s">
        <v>411</v>
      </c>
      <c r="F159" s="10">
        <v>1300</v>
      </c>
      <c r="G159" s="11">
        <f t="shared" si="36"/>
        <v>157300</v>
      </c>
      <c r="H159" s="31"/>
      <c r="I159" s="18"/>
      <c r="J159" s="95">
        <v>45771</v>
      </c>
      <c r="K159" s="90"/>
      <c r="L159" s="12">
        <v>45762</v>
      </c>
      <c r="M159" s="12">
        <v>45762</v>
      </c>
      <c r="N159" s="1"/>
      <c r="O159" s="1"/>
      <c r="P159" s="1" t="s">
        <v>412</v>
      </c>
      <c r="Q159" s="10">
        <v>110</v>
      </c>
      <c r="R159" s="13">
        <f t="shared" si="37"/>
        <v>143000</v>
      </c>
      <c r="S159" s="1">
        <f t="shared" si="48"/>
        <v>14300</v>
      </c>
      <c r="T159" s="1">
        <v>0</v>
      </c>
      <c r="U159" s="1">
        <f t="shared" si="39"/>
        <v>0</v>
      </c>
      <c r="V159" s="10" t="s">
        <v>36</v>
      </c>
      <c r="W159" s="1" t="s">
        <v>410</v>
      </c>
      <c r="X159" s="14">
        <f t="shared" si="40"/>
        <v>65970</v>
      </c>
      <c r="Y159" s="14">
        <f t="shared" si="41"/>
        <v>51670</v>
      </c>
      <c r="Z159" s="2">
        <f t="shared" si="42"/>
        <v>0.32848061029879211</v>
      </c>
      <c r="AA159" s="19">
        <v>91330</v>
      </c>
      <c r="AB159" s="1">
        <f t="shared" si="43"/>
        <v>-59972.727272727279</v>
      </c>
      <c r="AC159" s="20">
        <f t="shared" si="44"/>
        <v>0.41938970120788305</v>
      </c>
      <c r="AD159" s="21">
        <f t="shared" si="45"/>
        <v>5997.2727272727207</v>
      </c>
    </row>
    <row r="160" spans="1:30" ht="21" customHeight="1">
      <c r="A160" s="26">
        <f t="shared" si="35"/>
        <v>160</v>
      </c>
      <c r="B160" s="43">
        <v>4</v>
      </c>
      <c r="C160" s="44">
        <v>15</v>
      </c>
      <c r="D160" s="1" t="s">
        <v>37</v>
      </c>
      <c r="E160" s="9" t="s">
        <v>413</v>
      </c>
      <c r="F160" s="10">
        <v>1</v>
      </c>
      <c r="G160" s="11">
        <f t="shared" si="36"/>
        <v>42900</v>
      </c>
      <c r="H160" s="31"/>
      <c r="I160" s="18"/>
      <c r="J160" s="95">
        <v>45798</v>
      </c>
      <c r="K160" s="90"/>
      <c r="L160" s="12">
        <v>45762</v>
      </c>
      <c r="M160" s="12">
        <v>45762</v>
      </c>
      <c r="N160" s="1" t="s">
        <v>38</v>
      </c>
      <c r="O160" s="1" t="s">
        <v>39</v>
      </c>
      <c r="P160" s="1" t="s">
        <v>118</v>
      </c>
      <c r="Q160" s="10">
        <v>19000</v>
      </c>
      <c r="R160" s="13">
        <f t="shared" si="37"/>
        <v>19000</v>
      </c>
      <c r="S160" s="1">
        <f t="shared" si="48"/>
        <v>1900</v>
      </c>
      <c r="T160" s="1">
        <v>20000</v>
      </c>
      <c r="U160" s="1">
        <f t="shared" si="39"/>
        <v>2000</v>
      </c>
      <c r="V160" s="10" t="s">
        <v>41</v>
      </c>
      <c r="W160" s="1" t="s">
        <v>114</v>
      </c>
      <c r="X160" s="14">
        <f t="shared" si="40"/>
        <v>42900</v>
      </c>
      <c r="Y160" s="14">
        <f t="shared" si="41"/>
        <v>41000</v>
      </c>
      <c r="Z160" s="2">
        <f t="shared" si="42"/>
        <v>0.95571095571095566</v>
      </c>
      <c r="AA160" s="19">
        <v>0</v>
      </c>
      <c r="AB160" s="1">
        <f t="shared" si="43"/>
        <v>-39000</v>
      </c>
      <c r="AC160" s="20">
        <f t="shared" si="44"/>
        <v>1</v>
      </c>
      <c r="AD160" s="21">
        <f t="shared" si="45"/>
        <v>3900</v>
      </c>
    </row>
    <row r="161" spans="1:30" ht="21" customHeight="1">
      <c r="A161" s="26">
        <f t="shared" si="35"/>
        <v>161</v>
      </c>
      <c r="B161" s="43">
        <v>4</v>
      </c>
      <c r="C161" s="44">
        <v>15</v>
      </c>
      <c r="D161" s="1" t="s">
        <v>37</v>
      </c>
      <c r="E161" s="9" t="s">
        <v>414</v>
      </c>
      <c r="F161" s="10">
        <v>1</v>
      </c>
      <c r="G161" s="11">
        <f t="shared" si="36"/>
        <v>13200</v>
      </c>
      <c r="H161" s="31"/>
      <c r="I161" s="18"/>
      <c r="J161" s="95">
        <v>45797</v>
      </c>
      <c r="K161" s="90"/>
      <c r="L161" s="12">
        <v>45762</v>
      </c>
      <c r="M161" s="12">
        <v>45762</v>
      </c>
      <c r="N161" s="1" t="s">
        <v>157</v>
      </c>
      <c r="O161" s="1" t="s">
        <v>158</v>
      </c>
      <c r="P161" s="1" t="s">
        <v>72</v>
      </c>
      <c r="Q161" s="10">
        <v>12000</v>
      </c>
      <c r="R161" s="13">
        <f t="shared" si="37"/>
        <v>12000</v>
      </c>
      <c r="S161" s="1">
        <f t="shared" si="48"/>
        <v>1200</v>
      </c>
      <c r="T161" s="1">
        <v>0</v>
      </c>
      <c r="U161" s="1">
        <f t="shared" si="39"/>
        <v>0</v>
      </c>
      <c r="V161" s="10" t="s">
        <v>41</v>
      </c>
      <c r="W161" s="1" t="s">
        <v>242</v>
      </c>
      <c r="X161" s="14">
        <f t="shared" si="40"/>
        <v>13200</v>
      </c>
      <c r="Y161" s="14">
        <f t="shared" si="41"/>
        <v>12000</v>
      </c>
      <c r="Z161" s="2">
        <f t="shared" si="42"/>
        <v>0.90909090909090906</v>
      </c>
      <c r="AA161" s="19">
        <v>0</v>
      </c>
      <c r="AB161" s="1">
        <f t="shared" si="43"/>
        <v>-11999.999999999998</v>
      </c>
      <c r="AC161" s="20">
        <f t="shared" si="44"/>
        <v>1</v>
      </c>
      <c r="AD161" s="21">
        <f t="shared" si="45"/>
        <v>1200.0000000000018</v>
      </c>
    </row>
    <row r="162" spans="1:30" ht="21" customHeight="1">
      <c r="A162" s="26">
        <f t="shared" si="35"/>
        <v>162</v>
      </c>
      <c r="B162" s="43">
        <v>4</v>
      </c>
      <c r="C162" s="44">
        <v>15</v>
      </c>
      <c r="D162" s="10" t="s">
        <v>37</v>
      </c>
      <c r="E162" s="9" t="s">
        <v>415</v>
      </c>
      <c r="F162" s="10">
        <v>2</v>
      </c>
      <c r="G162" s="11">
        <f t="shared" si="36"/>
        <v>77000</v>
      </c>
      <c r="H162" s="31"/>
      <c r="I162" s="18"/>
      <c r="J162" s="95">
        <v>45855</v>
      </c>
      <c r="K162" s="90"/>
      <c r="L162" s="12">
        <v>45762</v>
      </c>
      <c r="M162" s="12">
        <v>45762</v>
      </c>
      <c r="N162" s="1" t="s">
        <v>125</v>
      </c>
      <c r="O162" s="1"/>
      <c r="P162" s="1" t="s">
        <v>126</v>
      </c>
      <c r="Q162" s="10">
        <v>35000</v>
      </c>
      <c r="R162" s="13">
        <f t="shared" si="37"/>
        <v>70000</v>
      </c>
      <c r="S162" s="1">
        <f t="shared" si="48"/>
        <v>7000</v>
      </c>
      <c r="T162" s="1">
        <v>0</v>
      </c>
      <c r="U162" s="1">
        <f t="shared" si="39"/>
        <v>0</v>
      </c>
      <c r="V162" s="10" t="s">
        <v>50</v>
      </c>
      <c r="W162" s="1" t="s">
        <v>104</v>
      </c>
      <c r="X162" s="14">
        <f t="shared" si="40"/>
        <v>57800</v>
      </c>
      <c r="Y162" s="14">
        <f t="shared" si="41"/>
        <v>50800</v>
      </c>
      <c r="Z162" s="2">
        <f t="shared" si="42"/>
        <v>0.65974025974025974</v>
      </c>
      <c r="AA162" s="19">
        <v>19200</v>
      </c>
      <c r="AB162" s="1">
        <f t="shared" si="43"/>
        <v>-52545.454545454544</v>
      </c>
      <c r="AC162" s="22">
        <f t="shared" si="44"/>
        <v>0.75064935064935068</v>
      </c>
      <c r="AD162" s="23">
        <f t="shared" si="45"/>
        <v>5254.5454545454522</v>
      </c>
    </row>
    <row r="163" spans="1:30" ht="21" customHeight="1">
      <c r="A163" s="26">
        <f t="shared" si="35"/>
        <v>163</v>
      </c>
      <c r="B163" s="43">
        <v>4</v>
      </c>
      <c r="C163" s="44">
        <v>16</v>
      </c>
      <c r="D163" s="10" t="s">
        <v>37</v>
      </c>
      <c r="E163" s="9" t="s">
        <v>416</v>
      </c>
      <c r="F163" s="10">
        <v>1</v>
      </c>
      <c r="G163" s="11">
        <f t="shared" si="36"/>
        <v>18700</v>
      </c>
      <c r="H163" s="31"/>
      <c r="I163" s="18"/>
      <c r="J163" s="95">
        <v>45772</v>
      </c>
      <c r="K163" s="90"/>
      <c r="L163" s="12">
        <v>45779</v>
      </c>
      <c r="M163" s="12">
        <v>45763</v>
      </c>
      <c r="N163" s="1" t="s">
        <v>45</v>
      </c>
      <c r="O163" s="1" t="s">
        <v>417</v>
      </c>
      <c r="P163" s="1" t="s">
        <v>35</v>
      </c>
      <c r="Q163" s="10">
        <v>17000</v>
      </c>
      <c r="R163" s="13">
        <f t="shared" si="37"/>
        <v>17000</v>
      </c>
      <c r="S163" s="1">
        <f t="shared" si="48"/>
        <v>1700</v>
      </c>
      <c r="T163" s="1">
        <v>0</v>
      </c>
      <c r="U163" s="1">
        <f t="shared" si="39"/>
        <v>0</v>
      </c>
      <c r="V163" s="10" t="s">
        <v>36</v>
      </c>
      <c r="W163" s="1" t="s">
        <v>358</v>
      </c>
      <c r="X163" s="14">
        <f t="shared" si="40"/>
        <v>18700</v>
      </c>
      <c r="Y163" s="14">
        <f t="shared" si="41"/>
        <v>17000</v>
      </c>
      <c r="Z163" s="2">
        <f t="shared" si="42"/>
        <v>0.90909090909090906</v>
      </c>
      <c r="AA163" s="19">
        <v>0</v>
      </c>
      <c r="AB163" s="1">
        <f t="shared" si="43"/>
        <v>-17000</v>
      </c>
      <c r="AC163" s="22">
        <f t="shared" si="44"/>
        <v>1</v>
      </c>
      <c r="AD163" s="23">
        <f t="shared" si="45"/>
        <v>1700</v>
      </c>
    </row>
    <row r="164" spans="1:30" ht="21" customHeight="1">
      <c r="A164" s="26">
        <f t="shared" si="35"/>
        <v>164</v>
      </c>
      <c r="B164" s="43">
        <v>4</v>
      </c>
      <c r="C164" s="44">
        <v>21</v>
      </c>
      <c r="D164" s="10" t="s">
        <v>70</v>
      </c>
      <c r="E164" s="9" t="s">
        <v>418</v>
      </c>
      <c r="F164" s="10">
        <v>2</v>
      </c>
      <c r="G164" s="11">
        <f t="shared" si="36"/>
        <v>37400</v>
      </c>
      <c r="H164" s="31"/>
      <c r="I164" s="18"/>
      <c r="J164" s="95">
        <v>45792</v>
      </c>
      <c r="K164" s="90"/>
      <c r="L164" s="12"/>
      <c r="M164" s="12"/>
      <c r="N164" s="1" t="s">
        <v>38</v>
      </c>
      <c r="O164" s="1" t="s">
        <v>39</v>
      </c>
      <c r="P164" s="1" t="s">
        <v>191</v>
      </c>
      <c r="Q164" s="10">
        <v>17000</v>
      </c>
      <c r="R164" s="13">
        <f t="shared" si="37"/>
        <v>34000</v>
      </c>
      <c r="S164" s="1">
        <f t="shared" si="48"/>
        <v>3400</v>
      </c>
      <c r="T164" s="1">
        <v>0</v>
      </c>
      <c r="U164" s="1">
        <f t="shared" si="39"/>
        <v>0</v>
      </c>
      <c r="V164" s="10" t="s">
        <v>41</v>
      </c>
      <c r="W164" s="1" t="s">
        <v>71</v>
      </c>
      <c r="X164" s="14">
        <f t="shared" si="40"/>
        <v>37400</v>
      </c>
      <c r="Y164" s="14">
        <f t="shared" si="41"/>
        <v>34000</v>
      </c>
      <c r="Z164" s="2">
        <f t="shared" si="42"/>
        <v>0.90909090909090906</v>
      </c>
      <c r="AA164" s="19">
        <v>0</v>
      </c>
      <c r="AB164" s="1">
        <f t="shared" si="43"/>
        <v>-34000</v>
      </c>
      <c r="AC164" s="22">
        <f t="shared" si="44"/>
        <v>1</v>
      </c>
      <c r="AD164" s="23">
        <f t="shared" si="45"/>
        <v>3400</v>
      </c>
    </row>
    <row r="165" spans="1:30" ht="21" customHeight="1">
      <c r="A165" s="26">
        <f t="shared" si="35"/>
        <v>165</v>
      </c>
      <c r="B165" s="43">
        <v>4</v>
      </c>
      <c r="C165" s="44">
        <v>21</v>
      </c>
      <c r="D165" s="10" t="s">
        <v>37</v>
      </c>
      <c r="E165" s="9" t="s">
        <v>419</v>
      </c>
      <c r="F165" s="10">
        <v>500</v>
      </c>
      <c r="G165" s="11">
        <f t="shared" si="36"/>
        <v>352000</v>
      </c>
      <c r="H165" s="31"/>
      <c r="I165" s="18"/>
      <c r="J165" s="95">
        <v>45775</v>
      </c>
      <c r="K165" s="90"/>
      <c r="L165" s="12">
        <v>45775</v>
      </c>
      <c r="M165" s="12">
        <v>45768</v>
      </c>
      <c r="N165" s="1" t="s">
        <v>420</v>
      </c>
      <c r="O165" s="1" t="s">
        <v>142</v>
      </c>
      <c r="P165" s="1" t="s">
        <v>100</v>
      </c>
      <c r="Q165" s="10">
        <v>640</v>
      </c>
      <c r="R165" s="13">
        <f t="shared" si="37"/>
        <v>320000</v>
      </c>
      <c r="S165" s="1">
        <f t="shared" si="48"/>
        <v>32000</v>
      </c>
      <c r="T165" s="1">
        <v>0</v>
      </c>
      <c r="U165" s="1">
        <f t="shared" si="39"/>
        <v>0</v>
      </c>
      <c r="V165" s="10" t="s">
        <v>117</v>
      </c>
      <c r="W165" s="1" t="s">
        <v>410</v>
      </c>
      <c r="X165" s="14">
        <f t="shared" si="40"/>
        <v>144100</v>
      </c>
      <c r="Y165" s="14">
        <f t="shared" si="41"/>
        <v>112100</v>
      </c>
      <c r="Z165" s="2">
        <f t="shared" si="42"/>
        <v>0.31846590909090911</v>
      </c>
      <c r="AA165" s="19">
        <v>207900</v>
      </c>
      <c r="AB165" s="1">
        <f t="shared" si="43"/>
        <v>-131000.00000000003</v>
      </c>
      <c r="AC165" s="22">
        <f t="shared" si="44"/>
        <v>0.4093750000000001</v>
      </c>
      <c r="AD165" s="23">
        <f t="shared" si="45"/>
        <v>13099.999999999971</v>
      </c>
    </row>
    <row r="166" spans="1:30" ht="21" customHeight="1">
      <c r="A166" s="26">
        <f t="shared" si="35"/>
        <v>166</v>
      </c>
      <c r="B166" s="43">
        <v>4</v>
      </c>
      <c r="C166" s="44">
        <v>21</v>
      </c>
      <c r="D166" s="10" t="s">
        <v>37</v>
      </c>
      <c r="E166" s="9" t="s">
        <v>421</v>
      </c>
      <c r="F166" s="10">
        <v>8</v>
      </c>
      <c r="G166" s="11">
        <f t="shared" si="36"/>
        <v>70400</v>
      </c>
      <c r="H166" s="31"/>
      <c r="I166" s="18"/>
      <c r="J166" s="95">
        <v>45779</v>
      </c>
      <c r="K166" s="90"/>
      <c r="L166" s="12">
        <v>45775</v>
      </c>
      <c r="M166" s="12">
        <v>45771</v>
      </c>
      <c r="N166" s="1" t="s">
        <v>48</v>
      </c>
      <c r="O166" s="1"/>
      <c r="P166" s="1" t="s">
        <v>49</v>
      </c>
      <c r="Q166" s="10">
        <v>8000</v>
      </c>
      <c r="R166" s="13">
        <f t="shared" si="37"/>
        <v>64000</v>
      </c>
      <c r="S166" s="1">
        <f t="shared" si="48"/>
        <v>6400</v>
      </c>
      <c r="T166" s="1">
        <v>0</v>
      </c>
      <c r="U166" s="1">
        <f t="shared" si="39"/>
        <v>0</v>
      </c>
      <c r="V166" s="10" t="s">
        <v>117</v>
      </c>
      <c r="W166" s="1" t="s">
        <v>410</v>
      </c>
      <c r="X166" s="14">
        <f t="shared" si="40"/>
        <v>-137500</v>
      </c>
      <c r="Y166" s="14">
        <f t="shared" si="41"/>
        <v>-143900</v>
      </c>
      <c r="Z166" s="2">
        <f t="shared" si="42"/>
        <v>-2.0440340909090908</v>
      </c>
      <c r="AA166" s="19">
        <v>207900</v>
      </c>
      <c r="AB166" s="1">
        <f t="shared" si="43"/>
        <v>124999.99999999997</v>
      </c>
      <c r="AC166" s="20">
        <f t="shared" si="44"/>
        <v>-1.9531249999999998</v>
      </c>
      <c r="AD166" s="21">
        <f t="shared" si="45"/>
        <v>-12500.000000000022</v>
      </c>
    </row>
    <row r="167" spans="1:30" ht="21" customHeight="1">
      <c r="A167" s="26">
        <f t="shared" si="35"/>
        <v>167</v>
      </c>
      <c r="B167" s="43">
        <v>4</v>
      </c>
      <c r="C167" s="44">
        <v>21</v>
      </c>
      <c r="D167" s="10" t="s">
        <v>37</v>
      </c>
      <c r="E167" s="9" t="s">
        <v>422</v>
      </c>
      <c r="F167" s="10">
        <v>1</v>
      </c>
      <c r="G167" s="11">
        <f t="shared" si="36"/>
        <v>42900</v>
      </c>
      <c r="H167" s="31"/>
      <c r="I167" s="18"/>
      <c r="J167" s="95">
        <v>45797</v>
      </c>
      <c r="K167" s="90"/>
      <c r="L167" s="12">
        <v>45779</v>
      </c>
      <c r="M167" s="12">
        <v>45768</v>
      </c>
      <c r="N167" s="1" t="s">
        <v>38</v>
      </c>
      <c r="O167" s="1" t="s">
        <v>39</v>
      </c>
      <c r="P167" s="1" t="s">
        <v>193</v>
      </c>
      <c r="Q167" s="10">
        <v>19000</v>
      </c>
      <c r="R167" s="13">
        <f t="shared" si="37"/>
        <v>19000</v>
      </c>
      <c r="S167" s="1">
        <f t="shared" si="48"/>
        <v>1900</v>
      </c>
      <c r="T167" s="1">
        <v>20000</v>
      </c>
      <c r="U167" s="1">
        <f t="shared" si="39"/>
        <v>2000</v>
      </c>
      <c r="V167" s="10" t="s">
        <v>423</v>
      </c>
      <c r="W167" s="1" t="s">
        <v>242</v>
      </c>
      <c r="X167" s="14">
        <f t="shared" si="40"/>
        <v>7700</v>
      </c>
      <c r="Y167" s="14">
        <f t="shared" si="41"/>
        <v>5800</v>
      </c>
      <c r="Z167" s="2">
        <f t="shared" si="42"/>
        <v>0.1351981351981352</v>
      </c>
      <c r="AA167" s="19">
        <v>35200</v>
      </c>
      <c r="AB167" s="1">
        <f t="shared" si="43"/>
        <v>-7000.0000000000036</v>
      </c>
      <c r="AC167" s="22">
        <f t="shared" si="44"/>
        <v>0.17948717948717957</v>
      </c>
      <c r="AD167" s="23">
        <f t="shared" si="45"/>
        <v>699.99999999999636</v>
      </c>
    </row>
    <row r="168" spans="1:30" ht="21" customHeight="1">
      <c r="A168" s="26">
        <f t="shared" si="35"/>
        <v>168</v>
      </c>
      <c r="B168" s="43">
        <v>4</v>
      </c>
      <c r="C168" s="44">
        <v>21</v>
      </c>
      <c r="D168" s="10" t="s">
        <v>47</v>
      </c>
      <c r="E168" s="9" t="s">
        <v>424</v>
      </c>
      <c r="F168" s="10">
        <v>1</v>
      </c>
      <c r="G168" s="11">
        <f t="shared" si="36"/>
        <v>13200</v>
      </c>
      <c r="H168" s="31"/>
      <c r="I168" s="1"/>
      <c r="J168" s="96"/>
      <c r="K168" s="90"/>
      <c r="L168" s="12"/>
      <c r="M168" s="12"/>
      <c r="N168" s="1" t="s">
        <v>45</v>
      </c>
      <c r="O168" s="1" t="s">
        <v>34</v>
      </c>
      <c r="P168" s="1" t="s">
        <v>35</v>
      </c>
      <c r="Q168" s="10">
        <v>12000</v>
      </c>
      <c r="R168" s="13">
        <f t="shared" si="37"/>
        <v>12000</v>
      </c>
      <c r="S168" s="1">
        <f t="shared" si="48"/>
        <v>1200</v>
      </c>
      <c r="T168" s="1">
        <v>0</v>
      </c>
      <c r="U168" s="1">
        <v>0</v>
      </c>
      <c r="V168" s="10" t="s">
        <v>36</v>
      </c>
      <c r="W168" s="1" t="s">
        <v>387</v>
      </c>
      <c r="X168" s="14">
        <f t="shared" si="40"/>
        <v>13200</v>
      </c>
      <c r="Y168" s="14">
        <f t="shared" si="41"/>
        <v>12000</v>
      </c>
      <c r="Z168" s="2">
        <f t="shared" si="42"/>
        <v>0.90909090909090906</v>
      </c>
      <c r="AA168" s="19">
        <v>0</v>
      </c>
      <c r="AB168" s="1">
        <f t="shared" si="43"/>
        <v>-11999.999999999998</v>
      </c>
      <c r="AC168" s="22">
        <f t="shared" si="44"/>
        <v>1</v>
      </c>
      <c r="AD168" s="23">
        <f t="shared" si="45"/>
        <v>1200.0000000000018</v>
      </c>
    </row>
    <row r="169" spans="1:30" ht="21" customHeight="1">
      <c r="A169" s="26">
        <f t="shared" si="35"/>
        <v>169</v>
      </c>
      <c r="B169" s="43">
        <v>4</v>
      </c>
      <c r="C169" s="44">
        <v>22</v>
      </c>
      <c r="D169" s="10" t="s">
        <v>425</v>
      </c>
      <c r="E169" s="9" t="s">
        <v>134</v>
      </c>
      <c r="F169" s="10">
        <v>62</v>
      </c>
      <c r="G169" s="11">
        <f t="shared" si="36"/>
        <v>1568600</v>
      </c>
      <c r="H169" s="31"/>
      <c r="I169" s="18"/>
      <c r="J169" s="95">
        <v>45772</v>
      </c>
      <c r="K169" s="90"/>
      <c r="L169" s="12">
        <v>45776</v>
      </c>
      <c r="M169" s="12">
        <v>45776</v>
      </c>
      <c r="N169" s="1" t="s">
        <v>134</v>
      </c>
      <c r="O169" s="1" t="s">
        <v>426</v>
      </c>
      <c r="P169" s="1"/>
      <c r="Q169" s="10">
        <v>23000</v>
      </c>
      <c r="R169" s="13">
        <f t="shared" si="37"/>
        <v>1426000</v>
      </c>
      <c r="S169" s="1">
        <f t="shared" si="48"/>
        <v>142600</v>
      </c>
      <c r="T169" s="1">
        <v>0</v>
      </c>
      <c r="U169" s="1">
        <v>0</v>
      </c>
      <c r="V169" s="10" t="s">
        <v>36</v>
      </c>
      <c r="W169" s="1" t="s">
        <v>387</v>
      </c>
      <c r="X169" s="14">
        <f t="shared" si="40"/>
        <v>406600</v>
      </c>
      <c r="Y169" s="14">
        <f t="shared" si="41"/>
        <v>264000</v>
      </c>
      <c r="Z169" s="2">
        <f t="shared" si="42"/>
        <v>0.16830294530154277</v>
      </c>
      <c r="AA169" s="19">
        <v>1162000</v>
      </c>
      <c r="AB169" s="1">
        <f t="shared" si="43"/>
        <v>-369636.36363636376</v>
      </c>
      <c r="AC169" s="22">
        <f t="shared" si="44"/>
        <v>0.25921203621063377</v>
      </c>
      <c r="AD169" s="23">
        <f t="shared" si="45"/>
        <v>36963.636363636237</v>
      </c>
    </row>
    <row r="170" spans="1:30" ht="21" customHeight="1">
      <c r="A170" s="26">
        <f t="shared" si="35"/>
        <v>170</v>
      </c>
      <c r="B170" s="43">
        <v>4</v>
      </c>
      <c r="C170" s="44">
        <v>22</v>
      </c>
      <c r="D170" s="10" t="s">
        <v>425</v>
      </c>
      <c r="E170" s="9" t="s">
        <v>427</v>
      </c>
      <c r="F170" s="10">
        <v>70</v>
      </c>
      <c r="G170" s="11">
        <f t="shared" si="36"/>
        <v>554400</v>
      </c>
      <c r="H170" s="31"/>
      <c r="I170" s="18"/>
      <c r="J170" s="95">
        <v>45772</v>
      </c>
      <c r="K170" s="90"/>
      <c r="L170" s="12">
        <v>45776</v>
      </c>
      <c r="M170" s="12">
        <v>45776</v>
      </c>
      <c r="N170" s="1" t="s">
        <v>134</v>
      </c>
      <c r="O170" s="1" t="s">
        <v>426</v>
      </c>
      <c r="P170" s="1"/>
      <c r="Q170" s="10">
        <v>7200</v>
      </c>
      <c r="R170" s="13">
        <f t="shared" si="37"/>
        <v>504000</v>
      </c>
      <c r="S170" s="1">
        <f t="shared" si="48"/>
        <v>50400</v>
      </c>
      <c r="T170" s="1">
        <v>0</v>
      </c>
      <c r="U170" s="1">
        <v>0</v>
      </c>
      <c r="V170" s="10" t="s">
        <v>36</v>
      </c>
      <c r="W170" s="1" t="s">
        <v>387</v>
      </c>
      <c r="X170" s="14">
        <f t="shared" si="40"/>
        <v>169400</v>
      </c>
      <c r="Y170" s="14">
        <f t="shared" si="41"/>
        <v>119000</v>
      </c>
      <c r="Z170" s="2">
        <f t="shared" si="42"/>
        <v>0.21464646464646464</v>
      </c>
      <c r="AA170" s="19">
        <v>385000</v>
      </c>
      <c r="AB170" s="1">
        <f t="shared" si="43"/>
        <v>-153999.99999999994</v>
      </c>
      <c r="AC170" s="22">
        <f t="shared" si="44"/>
        <v>0.30555555555555547</v>
      </c>
      <c r="AD170" s="23">
        <f t="shared" si="45"/>
        <v>15400.000000000058</v>
      </c>
    </row>
    <row r="171" spans="1:30" ht="21" customHeight="1">
      <c r="A171" s="26">
        <f t="shared" si="35"/>
        <v>171</v>
      </c>
      <c r="B171" s="43">
        <v>4</v>
      </c>
      <c r="C171" s="44">
        <v>22</v>
      </c>
      <c r="D171" s="10" t="s">
        <v>37</v>
      </c>
      <c r="E171" s="9" t="s">
        <v>428</v>
      </c>
      <c r="F171" s="10">
        <v>1</v>
      </c>
      <c r="G171" s="11">
        <f t="shared" si="36"/>
        <v>55000</v>
      </c>
      <c r="H171" s="31"/>
      <c r="I171" s="18"/>
      <c r="J171" s="95">
        <v>45792</v>
      </c>
      <c r="K171" s="90"/>
      <c r="L171" s="12">
        <v>45779</v>
      </c>
      <c r="M171" s="12">
        <v>45769</v>
      </c>
      <c r="N171" s="1" t="s">
        <v>38</v>
      </c>
      <c r="O171" s="1" t="s">
        <v>39</v>
      </c>
      <c r="P171" s="1" t="s">
        <v>205</v>
      </c>
      <c r="Q171" s="10">
        <v>50000</v>
      </c>
      <c r="R171" s="13">
        <f t="shared" si="37"/>
        <v>50000</v>
      </c>
      <c r="S171" s="1">
        <f t="shared" si="48"/>
        <v>5000</v>
      </c>
      <c r="T171" s="1">
        <v>0</v>
      </c>
      <c r="U171" s="1">
        <v>0</v>
      </c>
      <c r="V171" s="10" t="s">
        <v>36</v>
      </c>
      <c r="W171" s="1" t="s">
        <v>183</v>
      </c>
      <c r="X171" s="14">
        <f t="shared" si="40"/>
        <v>8800</v>
      </c>
      <c r="Y171" s="14">
        <f t="shared" si="41"/>
        <v>3800</v>
      </c>
      <c r="Z171" s="2">
        <f t="shared" si="42"/>
        <v>6.9090909090909092E-2</v>
      </c>
      <c r="AA171" s="19">
        <v>46200</v>
      </c>
      <c r="AB171" s="1">
        <f t="shared" si="43"/>
        <v>-7999.9999999999927</v>
      </c>
      <c r="AC171" s="22">
        <f t="shared" si="44"/>
        <v>0.15999999999999986</v>
      </c>
      <c r="AD171" s="23">
        <f t="shared" si="45"/>
        <v>800.00000000000728</v>
      </c>
    </row>
    <row r="172" spans="1:30" ht="21" customHeight="1">
      <c r="A172" s="26">
        <f t="shared" si="35"/>
        <v>172</v>
      </c>
      <c r="B172" s="43">
        <v>4</v>
      </c>
      <c r="C172" s="44">
        <v>22</v>
      </c>
      <c r="D172" s="10" t="s">
        <v>37</v>
      </c>
      <c r="E172" s="9" t="s">
        <v>429</v>
      </c>
      <c r="F172" s="10">
        <v>1</v>
      </c>
      <c r="G172" s="11">
        <f t="shared" si="36"/>
        <v>20900</v>
      </c>
      <c r="H172" s="31"/>
      <c r="I172" s="18"/>
      <c r="J172" s="95">
        <v>45807</v>
      </c>
      <c r="K172" s="90"/>
      <c r="L172" s="12">
        <v>45779</v>
      </c>
      <c r="M172" s="12">
        <v>45769</v>
      </c>
      <c r="N172" s="1" t="s">
        <v>38</v>
      </c>
      <c r="O172" s="1" t="s">
        <v>39</v>
      </c>
      <c r="P172" s="1" t="s">
        <v>205</v>
      </c>
      <c r="Q172" s="10">
        <v>19000</v>
      </c>
      <c r="R172" s="13">
        <f t="shared" si="37"/>
        <v>19000</v>
      </c>
      <c r="S172" s="1">
        <f t="shared" si="48"/>
        <v>1900</v>
      </c>
      <c r="T172" s="1">
        <v>0</v>
      </c>
      <c r="U172" s="1">
        <v>0</v>
      </c>
      <c r="V172" s="10" t="s">
        <v>41</v>
      </c>
      <c r="W172" s="1" t="s">
        <v>140</v>
      </c>
      <c r="X172" s="14">
        <f t="shared" si="40"/>
        <v>20900</v>
      </c>
      <c r="Y172" s="14">
        <f t="shared" si="41"/>
        <v>19000</v>
      </c>
      <c r="Z172" s="2">
        <f t="shared" si="42"/>
        <v>0.90909090909090906</v>
      </c>
      <c r="AA172" s="19">
        <v>0</v>
      </c>
      <c r="AB172" s="1">
        <f t="shared" si="43"/>
        <v>-19000</v>
      </c>
      <c r="AC172" s="22">
        <f t="shared" si="44"/>
        <v>1</v>
      </c>
      <c r="AD172" s="23">
        <f t="shared" si="45"/>
        <v>1900</v>
      </c>
    </row>
    <row r="173" spans="1:30" ht="21" customHeight="1">
      <c r="A173" s="26">
        <f t="shared" si="35"/>
        <v>173</v>
      </c>
      <c r="B173" s="43">
        <v>4</v>
      </c>
      <c r="C173" s="44">
        <v>24</v>
      </c>
      <c r="D173" s="1" t="s">
        <v>37</v>
      </c>
      <c r="E173" s="9" t="s">
        <v>383</v>
      </c>
      <c r="F173" s="10">
        <v>4000</v>
      </c>
      <c r="G173" s="11">
        <f t="shared" si="36"/>
        <v>198000</v>
      </c>
      <c r="H173" s="31"/>
      <c r="I173" s="18"/>
      <c r="J173" s="95">
        <v>45805</v>
      </c>
      <c r="K173" s="90"/>
      <c r="L173" s="12">
        <v>45779</v>
      </c>
      <c r="M173" s="12">
        <v>45771</v>
      </c>
      <c r="N173" s="1" t="s">
        <v>45</v>
      </c>
      <c r="O173" s="1" t="s">
        <v>341</v>
      </c>
      <c r="P173" s="1" t="s">
        <v>342</v>
      </c>
      <c r="Q173" s="10">
        <v>45</v>
      </c>
      <c r="R173" s="13">
        <f t="shared" si="37"/>
        <v>180000</v>
      </c>
      <c r="S173" s="1">
        <f t="shared" si="48"/>
        <v>18000</v>
      </c>
      <c r="T173" s="1">
        <v>0</v>
      </c>
      <c r="U173" s="1">
        <f t="shared" ref="U173:U175" si="49">T173*0.1</f>
        <v>0</v>
      </c>
      <c r="V173" s="10" t="s">
        <v>36</v>
      </c>
      <c r="W173" s="1" t="s">
        <v>244</v>
      </c>
      <c r="X173" s="14">
        <f t="shared" si="40"/>
        <v>99160</v>
      </c>
      <c r="Y173" s="14">
        <f t="shared" si="41"/>
        <v>81160</v>
      </c>
      <c r="Z173" s="2">
        <f t="shared" si="42"/>
        <v>0.40989898989898987</v>
      </c>
      <c r="AA173" s="19">
        <v>98840</v>
      </c>
      <c r="AB173" s="1">
        <f t="shared" si="43"/>
        <v>-90145.454545454559</v>
      </c>
      <c r="AC173" s="22">
        <f t="shared" si="44"/>
        <v>0.50080808080808092</v>
      </c>
      <c r="AD173" s="23">
        <f t="shared" si="45"/>
        <v>9014.5454545454413</v>
      </c>
    </row>
    <row r="174" spans="1:30" ht="21" customHeight="1">
      <c r="A174" s="26">
        <f t="shared" si="35"/>
        <v>174</v>
      </c>
      <c r="B174" s="43">
        <v>4</v>
      </c>
      <c r="C174" s="44">
        <v>24</v>
      </c>
      <c r="D174" s="10" t="s">
        <v>37</v>
      </c>
      <c r="E174" s="9" t="s">
        <v>430</v>
      </c>
      <c r="F174" s="10">
        <v>2</v>
      </c>
      <c r="G174" s="11">
        <f t="shared" si="36"/>
        <v>77000</v>
      </c>
      <c r="H174" s="31"/>
      <c r="I174" s="18"/>
      <c r="J174" s="95">
        <v>45855</v>
      </c>
      <c r="K174" s="90"/>
      <c r="L174" s="12">
        <v>45779</v>
      </c>
      <c r="M174" s="12">
        <v>45771</v>
      </c>
      <c r="N174" s="1" t="s">
        <v>125</v>
      </c>
      <c r="O174" s="1"/>
      <c r="P174" s="1" t="s">
        <v>126</v>
      </c>
      <c r="Q174" s="10">
        <v>35000</v>
      </c>
      <c r="R174" s="13">
        <f t="shared" si="37"/>
        <v>70000</v>
      </c>
      <c r="S174" s="1">
        <f t="shared" si="48"/>
        <v>7000</v>
      </c>
      <c r="T174" s="1">
        <v>0</v>
      </c>
      <c r="U174" s="1">
        <f t="shared" si="49"/>
        <v>0</v>
      </c>
      <c r="V174" s="10" t="s">
        <v>50</v>
      </c>
      <c r="W174" s="1" t="s">
        <v>104</v>
      </c>
      <c r="X174" s="14">
        <f t="shared" si="40"/>
        <v>57800</v>
      </c>
      <c r="Y174" s="14">
        <f t="shared" si="41"/>
        <v>50800</v>
      </c>
      <c r="Z174" s="2">
        <f t="shared" si="42"/>
        <v>0.65974025974025974</v>
      </c>
      <c r="AA174" s="19">
        <v>19200</v>
      </c>
      <c r="AB174" s="1">
        <f t="shared" si="43"/>
        <v>-52545.454545454544</v>
      </c>
      <c r="AC174" s="22">
        <f t="shared" si="44"/>
        <v>0.75064935064935068</v>
      </c>
      <c r="AD174" s="23">
        <f t="shared" si="45"/>
        <v>5254.5454545454522</v>
      </c>
    </row>
    <row r="175" spans="1:30" ht="21" customHeight="1">
      <c r="A175" s="26">
        <f t="shared" si="35"/>
        <v>175</v>
      </c>
      <c r="B175" s="43">
        <v>4</v>
      </c>
      <c r="C175" s="44">
        <v>28</v>
      </c>
      <c r="D175" s="1" t="s">
        <v>87</v>
      </c>
      <c r="E175" s="9" t="s">
        <v>431</v>
      </c>
      <c r="F175" s="10">
        <v>1</v>
      </c>
      <c r="G175" s="11">
        <f t="shared" si="36"/>
        <v>272800</v>
      </c>
      <c r="H175" s="31"/>
      <c r="I175" s="18"/>
      <c r="J175" s="95">
        <v>45777</v>
      </c>
      <c r="K175" s="90"/>
      <c r="L175" s="12">
        <v>45775</v>
      </c>
      <c r="M175" s="12">
        <v>45775</v>
      </c>
      <c r="N175" s="1"/>
      <c r="O175" s="1"/>
      <c r="P175" s="1"/>
      <c r="Q175" s="10">
        <v>1</v>
      </c>
      <c r="R175" s="13">
        <v>248000</v>
      </c>
      <c r="S175" s="1">
        <f t="shared" si="48"/>
        <v>24800</v>
      </c>
      <c r="T175" s="1">
        <v>0</v>
      </c>
      <c r="U175" s="1">
        <f t="shared" si="49"/>
        <v>0</v>
      </c>
      <c r="V175" s="10" t="s">
        <v>36</v>
      </c>
      <c r="W175" s="1" t="s">
        <v>87</v>
      </c>
      <c r="X175" s="14">
        <f t="shared" si="40"/>
        <v>272800</v>
      </c>
      <c r="Y175" s="14">
        <f t="shared" si="41"/>
        <v>248000</v>
      </c>
      <c r="Z175" s="2">
        <f t="shared" si="42"/>
        <v>0.90909090909090906</v>
      </c>
      <c r="AA175" s="19">
        <v>0</v>
      </c>
      <c r="AB175" s="1">
        <f t="shared" si="43"/>
        <v>-247999.99999999997</v>
      </c>
      <c r="AC175" s="22">
        <f t="shared" si="44"/>
        <v>1</v>
      </c>
      <c r="AD175" s="23">
        <f t="shared" si="45"/>
        <v>24800.000000000029</v>
      </c>
    </row>
    <row r="176" spans="1:30" ht="2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  <c r="AA176" s="1"/>
      <c r="AB176" s="1"/>
      <c r="AC176" s="1"/>
      <c r="AD176" s="1"/>
    </row>
    <row r="177" spans="1:30" ht="21.75" customHeight="1">
      <c r="A177" s="26">
        <f t="shared" ref="A177:A232" si="50">ROW()</f>
        <v>177</v>
      </c>
      <c r="B177" s="41">
        <v>5</v>
      </c>
      <c r="C177" s="42">
        <v>2</v>
      </c>
      <c r="D177" s="1" t="s">
        <v>37</v>
      </c>
      <c r="E177" s="9" t="s">
        <v>432</v>
      </c>
      <c r="F177" s="10">
        <v>3</v>
      </c>
      <c r="G177" s="11">
        <f t="shared" ref="G177:G232" si="51">R177+S177+T177+U177</f>
        <v>66000</v>
      </c>
      <c r="H177" s="31"/>
      <c r="I177" s="18"/>
      <c r="J177" s="95">
        <v>45855</v>
      </c>
      <c r="K177" s="90"/>
      <c r="L177" s="12">
        <v>45779</v>
      </c>
      <c r="M177" s="12">
        <v>45779</v>
      </c>
      <c r="N177" s="1" t="s">
        <v>38</v>
      </c>
      <c r="O177" s="1" t="s">
        <v>39</v>
      </c>
      <c r="P177" s="1" t="s">
        <v>83</v>
      </c>
      <c r="Q177" s="10">
        <v>20000</v>
      </c>
      <c r="R177" s="13">
        <f t="shared" ref="R177:R232" si="52">Q177*F177</f>
        <v>60000</v>
      </c>
      <c r="S177" s="1">
        <f t="shared" ref="S177:S232" si="53">R177*0.1</f>
        <v>6000</v>
      </c>
      <c r="T177" s="1">
        <v>0</v>
      </c>
      <c r="U177" s="1">
        <f t="shared" ref="U177:U183" si="54">T177*0.1</f>
        <v>0</v>
      </c>
      <c r="V177" s="10" t="s">
        <v>84</v>
      </c>
      <c r="W177" s="1" t="s">
        <v>104</v>
      </c>
      <c r="X177" s="14">
        <f t="shared" ref="X177:X232" si="55">G177-AA177</f>
        <v>66000</v>
      </c>
      <c r="Y177" s="14">
        <f t="shared" ref="Y177:Y232" si="56">X177-S177</f>
        <v>60000</v>
      </c>
      <c r="Z177" s="2">
        <f t="shared" ref="Z177:Z210" si="57">Y177/G177</f>
        <v>0.90909090909090906</v>
      </c>
      <c r="AA177" s="19">
        <v>0</v>
      </c>
      <c r="AB177" s="1">
        <f t="shared" ref="AB177:AB232" si="58">(AA177/1.1)-(G177/1.1)</f>
        <v>-59999.999999999993</v>
      </c>
      <c r="AC177" s="20">
        <f t="shared" ref="AC177:AC232" si="59">((G177/1.1) - (AA177/1.1)) / (G177/1.1) * 1</f>
        <v>1</v>
      </c>
      <c r="AD177" s="21">
        <f t="shared" ref="AD177:AD232" si="60">(G177 - (G177 / 1.1)) - (AA177 - (AA177 / 1.1))</f>
        <v>6000.0000000000073</v>
      </c>
    </row>
    <row r="178" spans="1:30" ht="21.75" customHeight="1">
      <c r="A178" s="26">
        <f t="shared" si="50"/>
        <v>178</v>
      </c>
      <c r="B178" s="41">
        <v>5</v>
      </c>
      <c r="C178" s="42">
        <v>7</v>
      </c>
      <c r="D178" s="1" t="s">
        <v>37</v>
      </c>
      <c r="E178" s="9" t="s">
        <v>433</v>
      </c>
      <c r="F178" s="10">
        <v>1</v>
      </c>
      <c r="G178" s="11">
        <f t="shared" si="51"/>
        <v>114400</v>
      </c>
      <c r="H178" s="31"/>
      <c r="I178" s="18"/>
      <c r="J178" s="95">
        <v>45756</v>
      </c>
      <c r="K178" s="90"/>
      <c r="L178" s="12">
        <v>45805</v>
      </c>
      <c r="M178" s="12">
        <v>45779</v>
      </c>
      <c r="N178" s="1" t="s">
        <v>434</v>
      </c>
      <c r="O178" s="1" t="s">
        <v>124</v>
      </c>
      <c r="P178" s="1" t="s">
        <v>342</v>
      </c>
      <c r="Q178" s="10">
        <v>104000</v>
      </c>
      <c r="R178" s="13">
        <f t="shared" si="52"/>
        <v>104000</v>
      </c>
      <c r="S178" s="1">
        <f t="shared" si="53"/>
        <v>10400</v>
      </c>
      <c r="T178" s="1">
        <v>0</v>
      </c>
      <c r="U178" s="1">
        <f t="shared" si="54"/>
        <v>0</v>
      </c>
      <c r="V178" s="10" t="s">
        <v>36</v>
      </c>
      <c r="W178" s="1" t="s">
        <v>244</v>
      </c>
      <c r="X178" s="14">
        <f t="shared" si="55"/>
        <v>57280</v>
      </c>
      <c r="Y178" s="14">
        <f t="shared" si="56"/>
        <v>46880</v>
      </c>
      <c r="Z178" s="2">
        <f t="shared" si="57"/>
        <v>0.4097902097902098</v>
      </c>
      <c r="AA178" s="19">
        <v>57120</v>
      </c>
      <c r="AB178" s="1">
        <f t="shared" si="58"/>
        <v>-52072.727272727265</v>
      </c>
      <c r="AC178" s="20">
        <f t="shared" si="59"/>
        <v>0.50069930069930069</v>
      </c>
      <c r="AD178" s="21">
        <f t="shared" si="60"/>
        <v>5207.2727272727352</v>
      </c>
    </row>
    <row r="179" spans="1:30" ht="21.75" customHeight="1">
      <c r="A179" s="26">
        <f t="shared" si="50"/>
        <v>179</v>
      </c>
      <c r="B179" s="41">
        <v>5</v>
      </c>
      <c r="C179" s="42">
        <v>7</v>
      </c>
      <c r="D179" s="1" t="s">
        <v>425</v>
      </c>
      <c r="E179" s="9" t="s">
        <v>134</v>
      </c>
      <c r="F179" s="10">
        <v>2</v>
      </c>
      <c r="G179" s="11">
        <f t="shared" si="51"/>
        <v>55000</v>
      </c>
      <c r="H179" s="31"/>
      <c r="I179" s="18"/>
      <c r="J179" s="95">
        <v>45800</v>
      </c>
      <c r="K179" s="90"/>
      <c r="L179" s="12">
        <v>45804</v>
      </c>
      <c r="M179" s="12">
        <v>45804</v>
      </c>
      <c r="N179" s="1"/>
      <c r="O179" s="1"/>
      <c r="P179" s="1" t="s">
        <v>342</v>
      </c>
      <c r="Q179" s="10">
        <v>23000</v>
      </c>
      <c r="R179" s="13">
        <f t="shared" si="52"/>
        <v>46000</v>
      </c>
      <c r="S179" s="1">
        <f t="shared" si="53"/>
        <v>4600</v>
      </c>
      <c r="T179" s="1">
        <v>4000</v>
      </c>
      <c r="U179" s="1">
        <f t="shared" si="54"/>
        <v>400</v>
      </c>
      <c r="V179" s="10" t="s">
        <v>36</v>
      </c>
      <c r="W179" s="1" t="s">
        <v>244</v>
      </c>
      <c r="X179" s="14">
        <f t="shared" si="55"/>
        <v>13000</v>
      </c>
      <c r="Y179" s="14">
        <f t="shared" si="56"/>
        <v>8400</v>
      </c>
      <c r="Z179" s="2">
        <f t="shared" si="57"/>
        <v>0.15272727272727274</v>
      </c>
      <c r="AA179" s="19">
        <v>42000</v>
      </c>
      <c r="AB179" s="1">
        <f t="shared" si="58"/>
        <v>-11818.181818181816</v>
      </c>
      <c r="AC179" s="20">
        <f t="shared" si="59"/>
        <v>0.23636363636363636</v>
      </c>
      <c r="AD179" s="21">
        <f t="shared" si="60"/>
        <v>1181.8181818181838</v>
      </c>
    </row>
    <row r="180" spans="1:30" ht="21.75" customHeight="1">
      <c r="A180" s="26">
        <f t="shared" si="50"/>
        <v>180</v>
      </c>
      <c r="B180" s="41">
        <v>5</v>
      </c>
      <c r="C180" s="42">
        <v>8</v>
      </c>
      <c r="D180" s="1" t="s">
        <v>70</v>
      </c>
      <c r="E180" s="9" t="s">
        <v>435</v>
      </c>
      <c r="F180" s="10">
        <v>1</v>
      </c>
      <c r="G180" s="11">
        <f t="shared" si="51"/>
        <v>66000</v>
      </c>
      <c r="H180" s="31"/>
      <c r="I180" s="33"/>
      <c r="J180" s="96"/>
      <c r="K180" s="90"/>
      <c r="L180" s="12">
        <v>45785</v>
      </c>
      <c r="M180" s="12">
        <v>45785</v>
      </c>
      <c r="N180" s="1"/>
      <c r="O180" s="1"/>
      <c r="P180" s="1"/>
      <c r="Q180" s="10">
        <v>60000</v>
      </c>
      <c r="R180" s="13">
        <f t="shared" si="52"/>
        <v>60000</v>
      </c>
      <c r="S180" s="1">
        <f t="shared" si="53"/>
        <v>6000</v>
      </c>
      <c r="T180" s="1">
        <v>0</v>
      </c>
      <c r="U180" s="1">
        <f t="shared" si="54"/>
        <v>0</v>
      </c>
      <c r="V180" s="10" t="s">
        <v>50</v>
      </c>
      <c r="W180" s="1" t="s">
        <v>275</v>
      </c>
      <c r="X180" s="14">
        <f t="shared" si="55"/>
        <v>66000</v>
      </c>
      <c r="Y180" s="14">
        <f t="shared" si="56"/>
        <v>60000</v>
      </c>
      <c r="Z180" s="2">
        <f t="shared" si="57"/>
        <v>0.90909090909090906</v>
      </c>
      <c r="AA180" s="19">
        <v>0</v>
      </c>
      <c r="AB180" s="1">
        <f t="shared" si="58"/>
        <v>-59999.999999999993</v>
      </c>
      <c r="AC180" s="20">
        <f t="shared" si="59"/>
        <v>1</v>
      </c>
      <c r="AD180" s="21">
        <f t="shared" si="60"/>
        <v>6000.0000000000073</v>
      </c>
    </row>
    <row r="181" spans="1:30" ht="21.75" customHeight="1">
      <c r="A181" s="26">
        <f t="shared" si="50"/>
        <v>181</v>
      </c>
      <c r="B181" s="41">
        <v>5</v>
      </c>
      <c r="C181" s="42">
        <v>8</v>
      </c>
      <c r="D181" s="1" t="s">
        <v>70</v>
      </c>
      <c r="E181" s="9" t="s">
        <v>436</v>
      </c>
      <c r="F181" s="10">
        <v>2</v>
      </c>
      <c r="G181" s="11">
        <f t="shared" si="51"/>
        <v>26400</v>
      </c>
      <c r="H181" s="31"/>
      <c r="I181" s="33"/>
      <c r="J181" s="96"/>
      <c r="K181" s="90"/>
      <c r="L181" s="12">
        <v>45785</v>
      </c>
      <c r="M181" s="12">
        <v>45785</v>
      </c>
      <c r="N181" s="1"/>
      <c r="O181" s="1"/>
      <c r="P181" s="1"/>
      <c r="Q181" s="10">
        <v>12000</v>
      </c>
      <c r="R181" s="13">
        <f t="shared" si="52"/>
        <v>24000</v>
      </c>
      <c r="S181" s="1">
        <f t="shared" si="53"/>
        <v>2400</v>
      </c>
      <c r="T181" s="1">
        <v>0</v>
      </c>
      <c r="U181" s="1">
        <f t="shared" si="54"/>
        <v>0</v>
      </c>
      <c r="V181" s="10" t="s">
        <v>50</v>
      </c>
      <c r="W181" s="1" t="s">
        <v>275</v>
      </c>
      <c r="X181" s="14">
        <f t="shared" si="55"/>
        <v>26400</v>
      </c>
      <c r="Y181" s="14">
        <f t="shared" si="56"/>
        <v>24000</v>
      </c>
      <c r="Z181" s="2">
        <f t="shared" si="57"/>
        <v>0.90909090909090906</v>
      </c>
      <c r="AA181" s="19">
        <v>0</v>
      </c>
      <c r="AB181" s="1">
        <f t="shared" si="58"/>
        <v>-23999.999999999996</v>
      </c>
      <c r="AC181" s="20">
        <f t="shared" si="59"/>
        <v>1</v>
      </c>
      <c r="AD181" s="21">
        <f t="shared" si="60"/>
        <v>2400.0000000000036</v>
      </c>
    </row>
    <row r="182" spans="1:30" ht="21.75" customHeight="1">
      <c r="A182" s="26">
        <f t="shared" si="50"/>
        <v>182</v>
      </c>
      <c r="B182" s="41">
        <v>5</v>
      </c>
      <c r="C182" s="42">
        <v>8</v>
      </c>
      <c r="D182" s="1" t="s">
        <v>37</v>
      </c>
      <c r="E182" s="9" t="s">
        <v>437</v>
      </c>
      <c r="F182" s="10">
        <v>20</v>
      </c>
      <c r="G182" s="11">
        <f t="shared" si="51"/>
        <v>748000</v>
      </c>
      <c r="H182" s="31"/>
      <c r="I182" s="18"/>
      <c r="J182" s="95">
        <v>45838</v>
      </c>
      <c r="K182" s="90"/>
      <c r="L182" s="12">
        <v>45786</v>
      </c>
      <c r="M182" s="12">
        <v>45785</v>
      </c>
      <c r="N182" s="1" t="s">
        <v>128</v>
      </c>
      <c r="O182" s="1" t="s">
        <v>438</v>
      </c>
      <c r="P182" s="1" t="s">
        <v>129</v>
      </c>
      <c r="Q182" s="10">
        <v>34000</v>
      </c>
      <c r="R182" s="13">
        <f t="shared" si="52"/>
        <v>680000</v>
      </c>
      <c r="S182" s="1">
        <f t="shared" si="53"/>
        <v>68000</v>
      </c>
      <c r="T182" s="1">
        <v>0</v>
      </c>
      <c r="U182" s="1">
        <f t="shared" si="54"/>
        <v>0</v>
      </c>
      <c r="V182" s="10" t="s">
        <v>36</v>
      </c>
      <c r="W182" s="1" t="s">
        <v>140</v>
      </c>
      <c r="X182" s="14">
        <f t="shared" si="55"/>
        <v>198000</v>
      </c>
      <c r="Y182" s="14">
        <f t="shared" si="56"/>
        <v>130000</v>
      </c>
      <c r="Z182" s="2">
        <f t="shared" si="57"/>
        <v>0.17379679144385027</v>
      </c>
      <c r="AA182" s="19">
        <v>550000</v>
      </c>
      <c r="AB182" s="1">
        <f t="shared" si="58"/>
        <v>-180000.00000000006</v>
      </c>
      <c r="AC182" s="20">
        <f t="shared" si="59"/>
        <v>0.26470588235294124</v>
      </c>
      <c r="AD182" s="21">
        <f t="shared" si="60"/>
        <v>17999.999999999942</v>
      </c>
    </row>
    <row r="183" spans="1:30" ht="21" customHeight="1">
      <c r="A183" s="26">
        <f t="shared" si="50"/>
        <v>183</v>
      </c>
      <c r="B183" s="41">
        <v>5</v>
      </c>
      <c r="C183" s="42">
        <v>8</v>
      </c>
      <c r="D183" s="1" t="s">
        <v>37</v>
      </c>
      <c r="E183" s="9" t="s">
        <v>439</v>
      </c>
      <c r="F183" s="10">
        <v>20</v>
      </c>
      <c r="G183" s="11">
        <f t="shared" si="51"/>
        <v>616000</v>
      </c>
      <c r="H183" s="31"/>
      <c r="I183" s="18"/>
      <c r="J183" s="95">
        <v>45838</v>
      </c>
      <c r="K183" s="90"/>
      <c r="L183" s="12">
        <v>45786</v>
      </c>
      <c r="M183" s="12">
        <v>45785</v>
      </c>
      <c r="N183" s="1" t="s">
        <v>440</v>
      </c>
      <c r="O183" s="1" t="s">
        <v>441</v>
      </c>
      <c r="P183" s="1" t="s">
        <v>156</v>
      </c>
      <c r="Q183" s="10">
        <v>28000</v>
      </c>
      <c r="R183" s="13">
        <f t="shared" si="52"/>
        <v>560000</v>
      </c>
      <c r="S183" s="1">
        <f t="shared" si="53"/>
        <v>56000</v>
      </c>
      <c r="T183" s="1">
        <v>0</v>
      </c>
      <c r="U183" s="1">
        <f t="shared" si="54"/>
        <v>0</v>
      </c>
      <c r="V183" s="10" t="s">
        <v>36</v>
      </c>
      <c r="W183" s="1" t="s">
        <v>140</v>
      </c>
      <c r="X183" s="14">
        <f t="shared" si="55"/>
        <v>462000</v>
      </c>
      <c r="Y183" s="14">
        <f t="shared" si="56"/>
        <v>406000</v>
      </c>
      <c r="Z183" s="2">
        <f t="shared" si="57"/>
        <v>0.65909090909090906</v>
      </c>
      <c r="AA183" s="19">
        <v>154000</v>
      </c>
      <c r="AB183" s="1">
        <f t="shared" si="58"/>
        <v>-420000</v>
      </c>
      <c r="AC183" s="20">
        <f t="shared" si="59"/>
        <v>0.75</v>
      </c>
      <c r="AD183" s="21">
        <f t="shared" si="60"/>
        <v>42000</v>
      </c>
    </row>
    <row r="184" spans="1:30" ht="21" customHeight="1">
      <c r="A184" s="26">
        <f t="shared" si="50"/>
        <v>184</v>
      </c>
      <c r="B184" s="41">
        <v>5</v>
      </c>
      <c r="C184" s="42">
        <v>8</v>
      </c>
      <c r="D184" s="10" t="s">
        <v>103</v>
      </c>
      <c r="E184" s="9" t="s">
        <v>442</v>
      </c>
      <c r="F184" s="10">
        <v>1</v>
      </c>
      <c r="G184" s="11">
        <f t="shared" si="51"/>
        <v>24200</v>
      </c>
      <c r="H184" s="31"/>
      <c r="I184" s="18"/>
      <c r="J184" s="95">
        <v>45796</v>
      </c>
      <c r="K184" s="90"/>
      <c r="L184" s="25" t="s">
        <v>228</v>
      </c>
      <c r="M184" s="25" t="s">
        <v>57</v>
      </c>
      <c r="N184" s="1" t="s">
        <v>38</v>
      </c>
      <c r="O184" s="1" t="s">
        <v>39</v>
      </c>
      <c r="P184" s="1" t="s">
        <v>184</v>
      </c>
      <c r="Q184" s="10">
        <v>22000</v>
      </c>
      <c r="R184" s="13">
        <f t="shared" si="52"/>
        <v>22000</v>
      </c>
      <c r="S184" s="1">
        <f t="shared" si="53"/>
        <v>2200</v>
      </c>
      <c r="T184" s="1">
        <v>0</v>
      </c>
      <c r="U184" s="1">
        <v>0</v>
      </c>
      <c r="V184" s="10" t="s">
        <v>36</v>
      </c>
      <c r="W184" s="1" t="s">
        <v>103</v>
      </c>
      <c r="X184" s="14">
        <f t="shared" si="55"/>
        <v>6600</v>
      </c>
      <c r="Y184" s="14">
        <f t="shared" si="56"/>
        <v>4400</v>
      </c>
      <c r="Z184" s="2">
        <f t="shared" si="57"/>
        <v>0.18181818181818182</v>
      </c>
      <c r="AA184" s="19">
        <v>17600</v>
      </c>
      <c r="AB184" s="1">
        <f t="shared" si="58"/>
        <v>-6000.0000000000018</v>
      </c>
      <c r="AC184" s="22">
        <f t="shared" si="59"/>
        <v>0.27272727272727282</v>
      </c>
      <c r="AD184" s="23">
        <f t="shared" si="60"/>
        <v>599.99999999999818</v>
      </c>
    </row>
    <row r="185" spans="1:30" ht="21.75" customHeight="1">
      <c r="A185" s="26">
        <f t="shared" si="50"/>
        <v>185</v>
      </c>
      <c r="B185" s="41">
        <v>5</v>
      </c>
      <c r="C185" s="42">
        <v>8</v>
      </c>
      <c r="D185" s="10" t="s">
        <v>443</v>
      </c>
      <c r="E185" s="9" t="s">
        <v>444</v>
      </c>
      <c r="F185" s="10">
        <v>1</v>
      </c>
      <c r="G185" s="11">
        <f t="shared" si="51"/>
        <v>77000</v>
      </c>
      <c r="H185" s="31"/>
      <c r="I185" s="18"/>
      <c r="J185" s="95">
        <v>45793</v>
      </c>
      <c r="K185" s="90"/>
      <c r="L185" s="25" t="s">
        <v>228</v>
      </c>
      <c r="M185" s="25" t="s">
        <v>57</v>
      </c>
      <c r="N185" s="1" t="s">
        <v>38</v>
      </c>
      <c r="O185" s="1" t="s">
        <v>192</v>
      </c>
      <c r="P185" s="1" t="s">
        <v>445</v>
      </c>
      <c r="Q185" s="10">
        <v>70000</v>
      </c>
      <c r="R185" s="13">
        <f t="shared" si="52"/>
        <v>70000</v>
      </c>
      <c r="S185" s="1">
        <f t="shared" si="53"/>
        <v>7000</v>
      </c>
      <c r="T185" s="1">
        <v>0</v>
      </c>
      <c r="U185" s="1">
        <v>0</v>
      </c>
      <c r="V185" s="10" t="s">
        <v>36</v>
      </c>
      <c r="W185" s="1" t="s">
        <v>196</v>
      </c>
      <c r="X185" s="14">
        <f t="shared" si="55"/>
        <v>40400</v>
      </c>
      <c r="Y185" s="14">
        <f t="shared" si="56"/>
        <v>33400</v>
      </c>
      <c r="Z185" s="2">
        <f t="shared" si="57"/>
        <v>0.43376623376623374</v>
      </c>
      <c r="AA185" s="19">
        <v>36600</v>
      </c>
      <c r="AB185" s="1">
        <f t="shared" si="58"/>
        <v>-36727.272727272728</v>
      </c>
      <c r="AC185" s="22">
        <f t="shared" si="59"/>
        <v>0.52467532467532474</v>
      </c>
      <c r="AD185" s="23">
        <f t="shared" si="60"/>
        <v>3672.7272727272721</v>
      </c>
    </row>
    <row r="186" spans="1:30" ht="21" customHeight="1">
      <c r="A186" s="26">
        <f t="shared" si="50"/>
        <v>186</v>
      </c>
      <c r="B186" s="41">
        <v>5</v>
      </c>
      <c r="C186" s="42">
        <v>8</v>
      </c>
      <c r="D186" s="1" t="s">
        <v>37</v>
      </c>
      <c r="E186" s="9" t="s">
        <v>446</v>
      </c>
      <c r="F186" s="10">
        <v>1</v>
      </c>
      <c r="G186" s="11">
        <f t="shared" si="51"/>
        <v>18700</v>
      </c>
      <c r="H186" s="32"/>
      <c r="I186" s="18"/>
      <c r="J186" s="95">
        <v>45797</v>
      </c>
      <c r="K186" s="90"/>
      <c r="L186" s="12">
        <v>45805</v>
      </c>
      <c r="M186" s="12">
        <v>45785</v>
      </c>
      <c r="N186" s="1" t="s">
        <v>45</v>
      </c>
      <c r="O186" s="33"/>
      <c r="P186" s="1" t="s">
        <v>35</v>
      </c>
      <c r="Q186" s="10">
        <v>17000</v>
      </c>
      <c r="R186" s="13">
        <f t="shared" si="52"/>
        <v>17000</v>
      </c>
      <c r="S186" s="1">
        <f t="shared" si="53"/>
        <v>1700</v>
      </c>
      <c r="T186" s="1">
        <v>0</v>
      </c>
      <c r="U186" s="1">
        <f>T186*0.1</f>
        <v>0</v>
      </c>
      <c r="V186" s="10" t="s">
        <v>36</v>
      </c>
      <c r="W186" s="1" t="s">
        <v>358</v>
      </c>
      <c r="X186" s="14">
        <f t="shared" si="55"/>
        <v>18700</v>
      </c>
      <c r="Y186" s="14">
        <f t="shared" si="56"/>
        <v>17000</v>
      </c>
      <c r="Z186" s="2">
        <f t="shared" si="57"/>
        <v>0.90909090909090906</v>
      </c>
      <c r="AA186" s="19">
        <v>0</v>
      </c>
      <c r="AB186" s="1">
        <f t="shared" si="58"/>
        <v>-17000</v>
      </c>
      <c r="AC186" s="20">
        <f t="shared" si="59"/>
        <v>1</v>
      </c>
      <c r="AD186" s="21">
        <f t="shared" si="60"/>
        <v>1700</v>
      </c>
    </row>
    <row r="187" spans="1:30" ht="21" customHeight="1">
      <c r="A187" s="26">
        <f t="shared" si="50"/>
        <v>187</v>
      </c>
      <c r="B187" s="41">
        <v>5</v>
      </c>
      <c r="C187" s="42">
        <v>9</v>
      </c>
      <c r="D187" s="10" t="s">
        <v>447</v>
      </c>
      <c r="E187" s="9" t="s">
        <v>448</v>
      </c>
      <c r="F187" s="10">
        <v>1</v>
      </c>
      <c r="G187" s="11">
        <f t="shared" si="51"/>
        <v>69300</v>
      </c>
      <c r="H187" s="31"/>
      <c r="I187" s="18"/>
      <c r="J187" s="95">
        <v>45786</v>
      </c>
      <c r="K187" s="90"/>
      <c r="L187" s="12">
        <v>45786</v>
      </c>
      <c r="M187" s="25" t="s">
        <v>57</v>
      </c>
      <c r="N187" s="1" t="s">
        <v>154</v>
      </c>
      <c r="O187" s="1" t="s">
        <v>449</v>
      </c>
      <c r="P187" s="1" t="s">
        <v>100</v>
      </c>
      <c r="Q187" s="10">
        <v>63000</v>
      </c>
      <c r="R187" s="13">
        <f t="shared" si="52"/>
        <v>63000</v>
      </c>
      <c r="S187" s="1">
        <f t="shared" si="53"/>
        <v>6300</v>
      </c>
      <c r="T187" s="1">
        <v>0</v>
      </c>
      <c r="U187" s="1">
        <v>0</v>
      </c>
      <c r="V187" s="10" t="s">
        <v>36</v>
      </c>
      <c r="W187" s="1" t="s">
        <v>450</v>
      </c>
      <c r="X187" s="14">
        <f t="shared" si="55"/>
        <v>34400</v>
      </c>
      <c r="Y187" s="14">
        <f t="shared" si="56"/>
        <v>28100</v>
      </c>
      <c r="Z187" s="2">
        <f t="shared" si="57"/>
        <v>0.4054834054834055</v>
      </c>
      <c r="AA187" s="19">
        <v>34900</v>
      </c>
      <c r="AB187" s="1">
        <f t="shared" si="58"/>
        <v>-31272.727272727268</v>
      </c>
      <c r="AC187" s="20">
        <f t="shared" si="59"/>
        <v>0.49639249639249639</v>
      </c>
      <c r="AD187" s="21">
        <f t="shared" si="60"/>
        <v>3127.2727272727316</v>
      </c>
    </row>
    <row r="188" spans="1:30" ht="21" customHeight="1">
      <c r="A188" s="26">
        <f t="shared" si="50"/>
        <v>188</v>
      </c>
      <c r="B188" s="41">
        <v>5</v>
      </c>
      <c r="C188" s="42">
        <v>9</v>
      </c>
      <c r="D188" s="1" t="s">
        <v>70</v>
      </c>
      <c r="E188" s="9" t="s">
        <v>451</v>
      </c>
      <c r="F188" s="10">
        <v>1</v>
      </c>
      <c r="G188" s="11">
        <f t="shared" si="51"/>
        <v>55000</v>
      </c>
      <c r="H188" s="31"/>
      <c r="I188" s="18"/>
      <c r="J188" s="95">
        <v>45792</v>
      </c>
      <c r="K188" s="90"/>
      <c r="L188" s="12">
        <v>45790</v>
      </c>
      <c r="M188" s="12">
        <v>45790</v>
      </c>
      <c r="N188" s="1" t="s">
        <v>38</v>
      </c>
      <c r="O188" s="1" t="s">
        <v>39</v>
      </c>
      <c r="P188" s="1" t="s">
        <v>78</v>
      </c>
      <c r="Q188" s="10">
        <v>50000</v>
      </c>
      <c r="R188" s="13">
        <f t="shared" si="52"/>
        <v>50000</v>
      </c>
      <c r="S188" s="1">
        <f t="shared" si="53"/>
        <v>5000</v>
      </c>
      <c r="T188" s="1">
        <v>0</v>
      </c>
      <c r="U188" s="1">
        <f t="shared" ref="U188:U232" si="61">T188*0.1</f>
        <v>0</v>
      </c>
      <c r="V188" s="10" t="s">
        <v>41</v>
      </c>
      <c r="W188" s="1" t="s">
        <v>144</v>
      </c>
      <c r="X188" s="14">
        <f t="shared" si="55"/>
        <v>37620</v>
      </c>
      <c r="Y188" s="14">
        <f t="shared" si="56"/>
        <v>32620</v>
      </c>
      <c r="Z188" s="2">
        <f t="shared" si="57"/>
        <v>0.59309090909090911</v>
      </c>
      <c r="AA188" s="19">
        <v>17380</v>
      </c>
      <c r="AB188" s="1">
        <f t="shared" si="58"/>
        <v>-34199.999999999993</v>
      </c>
      <c r="AC188" s="22">
        <f t="shared" si="59"/>
        <v>0.68399999999999994</v>
      </c>
      <c r="AD188" s="23">
        <f t="shared" si="60"/>
        <v>3420.0000000000055</v>
      </c>
    </row>
    <row r="189" spans="1:30" ht="21" customHeight="1">
      <c r="A189" s="26">
        <f t="shared" si="50"/>
        <v>189</v>
      </c>
      <c r="B189" s="41">
        <v>5</v>
      </c>
      <c r="C189" s="42">
        <v>9</v>
      </c>
      <c r="D189" s="1" t="s">
        <v>70</v>
      </c>
      <c r="E189" s="9" t="s">
        <v>451</v>
      </c>
      <c r="F189" s="10">
        <v>3</v>
      </c>
      <c r="G189" s="11">
        <f t="shared" si="51"/>
        <v>66000</v>
      </c>
      <c r="H189" s="31"/>
      <c r="I189" s="18"/>
      <c r="J189" s="95">
        <v>45792</v>
      </c>
      <c r="K189" s="90"/>
      <c r="L189" s="12">
        <v>45790</v>
      </c>
      <c r="M189" s="12">
        <v>45790</v>
      </c>
      <c r="N189" s="1" t="s">
        <v>145</v>
      </c>
      <c r="O189" s="1" t="s">
        <v>146</v>
      </c>
      <c r="P189" s="1" t="s">
        <v>81</v>
      </c>
      <c r="Q189" s="10">
        <v>20000</v>
      </c>
      <c r="R189" s="13">
        <f t="shared" si="52"/>
        <v>60000</v>
      </c>
      <c r="S189" s="1">
        <f t="shared" si="53"/>
        <v>6000</v>
      </c>
      <c r="T189" s="1">
        <v>0</v>
      </c>
      <c r="U189" s="1">
        <f t="shared" si="61"/>
        <v>0</v>
      </c>
      <c r="V189" s="10" t="s">
        <v>41</v>
      </c>
      <c r="W189" s="1" t="s">
        <v>144</v>
      </c>
      <c r="X189" s="14">
        <f t="shared" si="55"/>
        <v>35200</v>
      </c>
      <c r="Y189" s="14">
        <f t="shared" si="56"/>
        <v>29200</v>
      </c>
      <c r="Z189" s="2">
        <f t="shared" si="57"/>
        <v>0.44242424242424244</v>
      </c>
      <c r="AA189" s="19">
        <v>30800</v>
      </c>
      <c r="AB189" s="1">
        <f t="shared" si="58"/>
        <v>-31999.999999999996</v>
      </c>
      <c r="AC189" s="22">
        <f t="shared" si="59"/>
        <v>0.53333333333333333</v>
      </c>
      <c r="AD189" s="23">
        <f t="shared" si="60"/>
        <v>3200.0000000000036</v>
      </c>
    </row>
    <row r="190" spans="1:30" ht="21" customHeight="1">
      <c r="A190" s="26">
        <f t="shared" si="50"/>
        <v>190</v>
      </c>
      <c r="B190" s="41">
        <v>5</v>
      </c>
      <c r="C190" s="42">
        <v>12</v>
      </c>
      <c r="D190" s="1" t="s">
        <v>47</v>
      </c>
      <c r="E190" s="9" t="s">
        <v>452</v>
      </c>
      <c r="F190" s="10">
        <v>3</v>
      </c>
      <c r="G190" s="11">
        <f t="shared" si="51"/>
        <v>69300</v>
      </c>
      <c r="H190" s="31"/>
      <c r="I190" s="18"/>
      <c r="J190" s="95">
        <v>45797</v>
      </c>
      <c r="K190" s="90"/>
      <c r="L190" s="12">
        <v>45791</v>
      </c>
      <c r="M190" s="12">
        <v>45790</v>
      </c>
      <c r="N190" s="1" t="s">
        <v>452</v>
      </c>
      <c r="O190" s="1" t="s">
        <v>121</v>
      </c>
      <c r="P190" s="1" t="s">
        <v>453</v>
      </c>
      <c r="Q190" s="10">
        <v>21000</v>
      </c>
      <c r="R190" s="13">
        <f t="shared" si="52"/>
        <v>63000</v>
      </c>
      <c r="S190" s="1">
        <f t="shared" si="53"/>
        <v>6300</v>
      </c>
      <c r="T190" s="1">
        <v>0</v>
      </c>
      <c r="U190" s="1">
        <f t="shared" si="61"/>
        <v>0</v>
      </c>
      <c r="V190" s="10" t="s">
        <v>41</v>
      </c>
      <c r="W190" s="1" t="s">
        <v>454</v>
      </c>
      <c r="X190" s="14">
        <f t="shared" si="55"/>
        <v>27720</v>
      </c>
      <c r="Y190" s="14">
        <f t="shared" si="56"/>
        <v>21420</v>
      </c>
      <c r="Z190" s="2">
        <f t="shared" si="57"/>
        <v>0.30909090909090908</v>
      </c>
      <c r="AA190" s="19">
        <v>41580</v>
      </c>
      <c r="AB190" s="1">
        <f t="shared" si="58"/>
        <v>-25199.999999999993</v>
      </c>
      <c r="AC190" s="22">
        <f t="shared" si="59"/>
        <v>0.39999999999999991</v>
      </c>
      <c r="AD190" s="23">
        <f t="shared" si="60"/>
        <v>2520.0000000000073</v>
      </c>
    </row>
    <row r="191" spans="1:30" ht="21" customHeight="1">
      <c r="A191" s="26">
        <f t="shared" si="50"/>
        <v>191</v>
      </c>
      <c r="B191" s="41">
        <v>5</v>
      </c>
      <c r="C191" s="42">
        <v>12</v>
      </c>
      <c r="D191" s="1" t="s">
        <v>47</v>
      </c>
      <c r="E191" s="9" t="s">
        <v>452</v>
      </c>
      <c r="F191" s="10">
        <v>3</v>
      </c>
      <c r="G191" s="11">
        <f t="shared" si="51"/>
        <v>56100</v>
      </c>
      <c r="H191" s="31"/>
      <c r="I191" s="18"/>
      <c r="J191" s="95">
        <v>45797</v>
      </c>
      <c r="K191" s="90"/>
      <c r="L191" s="12">
        <v>45791</v>
      </c>
      <c r="M191" s="12">
        <v>45790</v>
      </c>
      <c r="N191" s="1" t="s">
        <v>452</v>
      </c>
      <c r="O191" s="1" t="s">
        <v>121</v>
      </c>
      <c r="P191" s="1" t="s">
        <v>455</v>
      </c>
      <c r="Q191" s="10">
        <v>17000</v>
      </c>
      <c r="R191" s="13">
        <f t="shared" si="52"/>
        <v>51000</v>
      </c>
      <c r="S191" s="1">
        <f t="shared" si="53"/>
        <v>5100</v>
      </c>
      <c r="T191" s="1">
        <v>0</v>
      </c>
      <c r="U191" s="1">
        <f t="shared" si="61"/>
        <v>0</v>
      </c>
      <c r="V191" s="10" t="s">
        <v>41</v>
      </c>
      <c r="W191" s="1" t="s">
        <v>454</v>
      </c>
      <c r="X191" s="14">
        <f t="shared" si="55"/>
        <v>14520</v>
      </c>
      <c r="Y191" s="14">
        <f t="shared" si="56"/>
        <v>9420</v>
      </c>
      <c r="Z191" s="2">
        <f t="shared" si="57"/>
        <v>0.16791443850267379</v>
      </c>
      <c r="AA191" s="19">
        <v>41580</v>
      </c>
      <c r="AB191" s="1">
        <f t="shared" si="58"/>
        <v>-13199.999999999993</v>
      </c>
      <c r="AC191" s="22">
        <f t="shared" si="59"/>
        <v>0.25882352941176462</v>
      </c>
      <c r="AD191" s="23">
        <f t="shared" si="60"/>
        <v>1320.0000000000073</v>
      </c>
    </row>
    <row r="192" spans="1:30" ht="21" customHeight="1">
      <c r="A192" s="26">
        <f t="shared" si="50"/>
        <v>192</v>
      </c>
      <c r="B192" s="41">
        <v>5</v>
      </c>
      <c r="C192" s="42">
        <v>12</v>
      </c>
      <c r="D192" s="1" t="s">
        <v>47</v>
      </c>
      <c r="E192" s="9" t="s">
        <v>452</v>
      </c>
      <c r="F192" s="10">
        <v>3</v>
      </c>
      <c r="G192" s="11">
        <f t="shared" si="51"/>
        <v>59400</v>
      </c>
      <c r="H192" s="31"/>
      <c r="I192" s="18"/>
      <c r="J192" s="95">
        <v>45797</v>
      </c>
      <c r="K192" s="90"/>
      <c r="L192" s="12">
        <v>45791</v>
      </c>
      <c r="M192" s="12">
        <v>45790</v>
      </c>
      <c r="N192" s="1" t="s">
        <v>452</v>
      </c>
      <c r="O192" s="1" t="s">
        <v>121</v>
      </c>
      <c r="P192" s="1" t="s">
        <v>456</v>
      </c>
      <c r="Q192" s="10">
        <v>18000</v>
      </c>
      <c r="R192" s="13">
        <f t="shared" si="52"/>
        <v>54000</v>
      </c>
      <c r="S192" s="1">
        <f t="shared" si="53"/>
        <v>5400</v>
      </c>
      <c r="T192" s="1">
        <v>0</v>
      </c>
      <c r="U192" s="1">
        <f t="shared" si="61"/>
        <v>0</v>
      </c>
      <c r="V192" s="10" t="s">
        <v>41</v>
      </c>
      <c r="W192" s="1" t="s">
        <v>454</v>
      </c>
      <c r="X192" s="14">
        <f t="shared" si="55"/>
        <v>17820</v>
      </c>
      <c r="Y192" s="14">
        <f t="shared" si="56"/>
        <v>12420</v>
      </c>
      <c r="Z192" s="2">
        <f t="shared" si="57"/>
        <v>0.20909090909090908</v>
      </c>
      <c r="AA192" s="19">
        <v>41580</v>
      </c>
      <c r="AB192" s="1">
        <f t="shared" si="58"/>
        <v>-16199.999999999993</v>
      </c>
      <c r="AC192" s="22">
        <f t="shared" si="59"/>
        <v>0.29999999999999993</v>
      </c>
      <c r="AD192" s="23">
        <f t="shared" si="60"/>
        <v>1620.0000000000073</v>
      </c>
    </row>
    <row r="193" spans="1:30" ht="21" customHeight="1">
      <c r="A193" s="26">
        <f t="shared" si="50"/>
        <v>193</v>
      </c>
      <c r="B193" s="41">
        <v>5</v>
      </c>
      <c r="C193" s="42">
        <v>12</v>
      </c>
      <c r="D193" s="1" t="s">
        <v>47</v>
      </c>
      <c r="E193" s="9" t="s">
        <v>452</v>
      </c>
      <c r="F193" s="10">
        <v>3</v>
      </c>
      <c r="G193" s="11">
        <f t="shared" si="51"/>
        <v>29700</v>
      </c>
      <c r="H193" s="31"/>
      <c r="I193" s="18"/>
      <c r="J193" s="95">
        <v>45797</v>
      </c>
      <c r="K193" s="90"/>
      <c r="L193" s="12">
        <v>45791</v>
      </c>
      <c r="M193" s="12">
        <v>45790</v>
      </c>
      <c r="N193" s="1" t="s">
        <v>452</v>
      </c>
      <c r="O193" s="1" t="s">
        <v>121</v>
      </c>
      <c r="P193" s="1" t="s">
        <v>457</v>
      </c>
      <c r="Q193" s="10">
        <v>9000</v>
      </c>
      <c r="R193" s="13">
        <f t="shared" si="52"/>
        <v>27000</v>
      </c>
      <c r="S193" s="1">
        <f t="shared" si="53"/>
        <v>2700</v>
      </c>
      <c r="T193" s="1">
        <v>0</v>
      </c>
      <c r="U193" s="1">
        <f t="shared" si="61"/>
        <v>0</v>
      </c>
      <c r="V193" s="10" t="s">
        <v>41</v>
      </c>
      <c r="W193" s="1" t="s">
        <v>454</v>
      </c>
      <c r="X193" s="14">
        <f t="shared" si="55"/>
        <v>-11880</v>
      </c>
      <c r="Y193" s="14">
        <f t="shared" si="56"/>
        <v>-14580</v>
      </c>
      <c r="Z193" s="2">
        <f t="shared" si="57"/>
        <v>-0.49090909090909091</v>
      </c>
      <c r="AA193" s="19">
        <v>41580</v>
      </c>
      <c r="AB193" s="1">
        <f t="shared" si="58"/>
        <v>10800.000000000004</v>
      </c>
      <c r="AC193" s="22">
        <f t="shared" si="59"/>
        <v>-0.40000000000000019</v>
      </c>
      <c r="AD193" s="23">
        <f t="shared" si="60"/>
        <v>-1079.9999999999964</v>
      </c>
    </row>
    <row r="194" spans="1:30" ht="21" customHeight="1">
      <c r="A194" s="26">
        <f t="shared" si="50"/>
        <v>194</v>
      </c>
      <c r="B194" s="41">
        <v>5</v>
      </c>
      <c r="C194" s="42">
        <v>12</v>
      </c>
      <c r="D194" s="1" t="s">
        <v>47</v>
      </c>
      <c r="E194" s="9" t="s">
        <v>452</v>
      </c>
      <c r="F194" s="10">
        <v>50</v>
      </c>
      <c r="G194" s="11">
        <f t="shared" si="51"/>
        <v>137500</v>
      </c>
      <c r="H194" s="31"/>
      <c r="I194" s="18"/>
      <c r="J194" s="95">
        <v>45797</v>
      </c>
      <c r="K194" s="90"/>
      <c r="L194" s="12">
        <v>45791</v>
      </c>
      <c r="M194" s="12">
        <v>45790</v>
      </c>
      <c r="N194" s="1" t="s">
        <v>458</v>
      </c>
      <c r="O194" s="1" t="s">
        <v>76</v>
      </c>
      <c r="P194" s="1" t="s">
        <v>100</v>
      </c>
      <c r="Q194" s="10">
        <v>2500</v>
      </c>
      <c r="R194" s="13">
        <f t="shared" si="52"/>
        <v>125000</v>
      </c>
      <c r="S194" s="1">
        <f t="shared" si="53"/>
        <v>12500</v>
      </c>
      <c r="T194" s="1">
        <v>0</v>
      </c>
      <c r="U194" s="1">
        <f t="shared" si="61"/>
        <v>0</v>
      </c>
      <c r="V194" s="10" t="s">
        <v>41</v>
      </c>
      <c r="W194" s="1" t="s">
        <v>454</v>
      </c>
      <c r="X194" s="14">
        <f t="shared" si="55"/>
        <v>59100</v>
      </c>
      <c r="Y194" s="14">
        <f t="shared" si="56"/>
        <v>46600</v>
      </c>
      <c r="Z194" s="2">
        <f t="shared" si="57"/>
        <v>0.33890909090909088</v>
      </c>
      <c r="AA194" s="19">
        <v>78400</v>
      </c>
      <c r="AB194" s="1">
        <f t="shared" si="58"/>
        <v>-53727.272727272721</v>
      </c>
      <c r="AC194" s="20">
        <f t="shared" si="59"/>
        <v>0.42981818181818182</v>
      </c>
      <c r="AD194" s="21">
        <f t="shared" si="60"/>
        <v>5372.7272727272793</v>
      </c>
    </row>
    <row r="195" spans="1:30" ht="21" customHeight="1">
      <c r="A195" s="26">
        <f t="shared" si="50"/>
        <v>195</v>
      </c>
      <c r="B195" s="41">
        <v>5</v>
      </c>
      <c r="C195" s="42">
        <v>12</v>
      </c>
      <c r="D195" s="1" t="s">
        <v>225</v>
      </c>
      <c r="E195" s="9" t="s">
        <v>459</v>
      </c>
      <c r="F195" s="10">
        <v>1</v>
      </c>
      <c r="G195" s="11">
        <f t="shared" si="51"/>
        <v>20900</v>
      </c>
      <c r="H195" s="31"/>
      <c r="I195" s="33"/>
      <c r="J195" s="96"/>
      <c r="K195" s="90"/>
      <c r="L195" s="12">
        <v>45818</v>
      </c>
      <c r="M195" s="12"/>
      <c r="N195" s="1" t="s">
        <v>38</v>
      </c>
      <c r="O195" s="1" t="s">
        <v>39</v>
      </c>
      <c r="P195" s="1" t="s">
        <v>83</v>
      </c>
      <c r="Q195" s="10">
        <v>19000</v>
      </c>
      <c r="R195" s="13">
        <f t="shared" si="52"/>
        <v>19000</v>
      </c>
      <c r="S195" s="1">
        <f t="shared" si="53"/>
        <v>1900</v>
      </c>
      <c r="T195" s="1">
        <v>0</v>
      </c>
      <c r="U195" s="1">
        <f t="shared" si="61"/>
        <v>0</v>
      </c>
      <c r="V195" s="10" t="s">
        <v>41</v>
      </c>
      <c r="W195" s="1" t="s">
        <v>186</v>
      </c>
      <c r="X195" s="14">
        <f t="shared" si="55"/>
        <v>20900</v>
      </c>
      <c r="Y195" s="14">
        <f t="shared" si="56"/>
        <v>19000</v>
      </c>
      <c r="Z195" s="2">
        <f t="shared" si="57"/>
        <v>0.90909090909090906</v>
      </c>
      <c r="AA195" s="19"/>
      <c r="AB195" s="1">
        <f t="shared" si="58"/>
        <v>-19000</v>
      </c>
      <c r="AC195" s="22">
        <f t="shared" si="59"/>
        <v>1</v>
      </c>
      <c r="AD195" s="23">
        <f t="shared" si="60"/>
        <v>1900</v>
      </c>
    </row>
    <row r="196" spans="1:30" ht="21" customHeight="1">
      <c r="A196" s="26">
        <f t="shared" si="50"/>
        <v>196</v>
      </c>
      <c r="B196" s="41">
        <v>5</v>
      </c>
      <c r="C196" s="42">
        <v>12</v>
      </c>
      <c r="D196" s="1" t="s">
        <v>162</v>
      </c>
      <c r="E196" s="9" t="s">
        <v>460</v>
      </c>
      <c r="F196" s="10">
        <v>1</v>
      </c>
      <c r="G196" s="11">
        <f t="shared" si="51"/>
        <v>22000</v>
      </c>
      <c r="H196" s="31"/>
      <c r="I196" s="18"/>
      <c r="J196" s="95">
        <v>45789</v>
      </c>
      <c r="K196" s="90"/>
      <c r="L196" s="12">
        <v>45790</v>
      </c>
      <c r="M196" s="25" t="s">
        <v>57</v>
      </c>
      <c r="N196" s="1" t="s">
        <v>211</v>
      </c>
      <c r="O196" s="1" t="s">
        <v>45</v>
      </c>
      <c r="P196" s="1" t="s">
        <v>35</v>
      </c>
      <c r="Q196" s="10">
        <v>20000</v>
      </c>
      <c r="R196" s="13">
        <f t="shared" si="52"/>
        <v>20000</v>
      </c>
      <c r="S196" s="1">
        <f t="shared" si="53"/>
        <v>2000</v>
      </c>
      <c r="T196" s="1">
        <v>0</v>
      </c>
      <c r="U196" s="1">
        <f t="shared" si="61"/>
        <v>0</v>
      </c>
      <c r="V196" s="10" t="s">
        <v>36</v>
      </c>
      <c r="W196" s="1" t="s">
        <v>162</v>
      </c>
      <c r="X196" s="14">
        <f t="shared" si="55"/>
        <v>22000</v>
      </c>
      <c r="Y196" s="14">
        <f t="shared" si="56"/>
        <v>20000</v>
      </c>
      <c r="Z196" s="2">
        <f t="shared" si="57"/>
        <v>0.90909090909090906</v>
      </c>
      <c r="AA196" s="19"/>
      <c r="AB196" s="1">
        <f t="shared" si="58"/>
        <v>-20000</v>
      </c>
      <c r="AC196" s="22">
        <f t="shared" si="59"/>
        <v>1</v>
      </c>
      <c r="AD196" s="23">
        <f t="shared" si="60"/>
        <v>2000</v>
      </c>
    </row>
    <row r="197" spans="1:30" ht="21" customHeight="1">
      <c r="A197" s="26">
        <f t="shared" si="50"/>
        <v>197</v>
      </c>
      <c r="B197" s="41">
        <v>5</v>
      </c>
      <c r="C197" s="42">
        <v>12</v>
      </c>
      <c r="D197" s="1" t="s">
        <v>162</v>
      </c>
      <c r="E197" s="9" t="s">
        <v>461</v>
      </c>
      <c r="F197" s="10">
        <v>2</v>
      </c>
      <c r="G197" s="11">
        <f t="shared" si="51"/>
        <v>22000</v>
      </c>
      <c r="H197" s="31"/>
      <c r="I197" s="18"/>
      <c r="J197" s="95">
        <v>45789</v>
      </c>
      <c r="K197" s="90"/>
      <c r="L197" s="12">
        <v>45790</v>
      </c>
      <c r="M197" s="25" t="s">
        <v>57</v>
      </c>
      <c r="N197" s="1" t="s">
        <v>211</v>
      </c>
      <c r="O197" s="1" t="s">
        <v>45</v>
      </c>
      <c r="P197" s="1" t="s">
        <v>35</v>
      </c>
      <c r="Q197" s="10">
        <v>10000</v>
      </c>
      <c r="R197" s="13">
        <f t="shared" si="52"/>
        <v>20000</v>
      </c>
      <c r="S197" s="1">
        <f t="shared" si="53"/>
        <v>2000</v>
      </c>
      <c r="T197" s="1">
        <v>0</v>
      </c>
      <c r="U197" s="1">
        <f t="shared" si="61"/>
        <v>0</v>
      </c>
      <c r="V197" s="10" t="s">
        <v>36</v>
      </c>
      <c r="W197" s="1" t="s">
        <v>162</v>
      </c>
      <c r="X197" s="14">
        <f t="shared" si="55"/>
        <v>22000</v>
      </c>
      <c r="Y197" s="14">
        <f t="shared" si="56"/>
        <v>20000</v>
      </c>
      <c r="Z197" s="2">
        <f t="shared" si="57"/>
        <v>0.90909090909090906</v>
      </c>
      <c r="AA197" s="29"/>
      <c r="AB197" s="1">
        <f t="shared" si="58"/>
        <v>-20000</v>
      </c>
      <c r="AC197" s="20">
        <f t="shared" si="59"/>
        <v>1</v>
      </c>
      <c r="AD197" s="21">
        <f t="shared" si="60"/>
        <v>2000</v>
      </c>
    </row>
    <row r="198" spans="1:30" ht="21" customHeight="1">
      <c r="A198" s="26">
        <f t="shared" si="50"/>
        <v>198</v>
      </c>
      <c r="B198" s="41">
        <v>5</v>
      </c>
      <c r="C198" s="42">
        <v>12</v>
      </c>
      <c r="D198" s="1" t="s">
        <v>162</v>
      </c>
      <c r="E198" s="9" t="s">
        <v>174</v>
      </c>
      <c r="F198" s="10">
        <v>1</v>
      </c>
      <c r="G198" s="11">
        <f t="shared" si="51"/>
        <v>77000</v>
      </c>
      <c r="H198" s="31"/>
      <c r="I198" s="18"/>
      <c r="J198" s="95">
        <v>45789</v>
      </c>
      <c r="K198" s="90"/>
      <c r="L198" s="12">
        <v>45790</v>
      </c>
      <c r="M198" s="25" t="s">
        <v>57</v>
      </c>
      <c r="N198" s="1" t="s">
        <v>174</v>
      </c>
      <c r="O198" s="1"/>
      <c r="P198" s="1"/>
      <c r="Q198" s="10">
        <v>70000</v>
      </c>
      <c r="R198" s="13">
        <f t="shared" si="52"/>
        <v>70000</v>
      </c>
      <c r="S198" s="1">
        <f t="shared" si="53"/>
        <v>7000</v>
      </c>
      <c r="T198" s="1">
        <v>0</v>
      </c>
      <c r="U198" s="1">
        <f t="shared" si="61"/>
        <v>0</v>
      </c>
      <c r="V198" s="10" t="s">
        <v>36</v>
      </c>
      <c r="W198" s="1" t="s">
        <v>162</v>
      </c>
      <c r="X198" s="14">
        <f t="shared" si="55"/>
        <v>77000</v>
      </c>
      <c r="Y198" s="14">
        <f t="shared" si="56"/>
        <v>70000</v>
      </c>
      <c r="Z198" s="2">
        <f t="shared" si="57"/>
        <v>0.90909090909090906</v>
      </c>
      <c r="AA198" s="29"/>
      <c r="AB198" s="1">
        <f t="shared" si="58"/>
        <v>-70000</v>
      </c>
      <c r="AC198" s="20">
        <f t="shared" si="59"/>
        <v>1</v>
      </c>
      <c r="AD198" s="21">
        <f t="shared" si="60"/>
        <v>7000</v>
      </c>
    </row>
    <row r="199" spans="1:30" ht="21" customHeight="1">
      <c r="A199" s="26">
        <f t="shared" si="50"/>
        <v>199</v>
      </c>
      <c r="B199" s="41">
        <v>5</v>
      </c>
      <c r="C199" s="42">
        <v>12</v>
      </c>
      <c r="D199" s="10" t="s">
        <v>47</v>
      </c>
      <c r="E199" s="9" t="s">
        <v>462</v>
      </c>
      <c r="F199" s="10">
        <v>4</v>
      </c>
      <c r="G199" s="11">
        <f t="shared" si="51"/>
        <v>105600</v>
      </c>
      <c r="H199" s="31"/>
      <c r="I199" s="18"/>
      <c r="J199" s="95">
        <v>45792</v>
      </c>
      <c r="K199" s="90"/>
      <c r="L199" s="12">
        <v>45789</v>
      </c>
      <c r="M199" s="12">
        <v>45789</v>
      </c>
      <c r="N199" s="1" t="s">
        <v>38</v>
      </c>
      <c r="O199" s="1" t="s">
        <v>107</v>
      </c>
      <c r="P199" s="1" t="s">
        <v>94</v>
      </c>
      <c r="Q199" s="10">
        <v>24000</v>
      </c>
      <c r="R199" s="13">
        <f t="shared" si="52"/>
        <v>96000</v>
      </c>
      <c r="S199" s="1">
        <f t="shared" si="53"/>
        <v>9600</v>
      </c>
      <c r="T199" s="1">
        <v>0</v>
      </c>
      <c r="U199" s="1">
        <f t="shared" si="61"/>
        <v>0</v>
      </c>
      <c r="V199" s="10" t="s">
        <v>41</v>
      </c>
      <c r="W199" s="1" t="s">
        <v>218</v>
      </c>
      <c r="X199" s="14">
        <f t="shared" si="55"/>
        <v>105600</v>
      </c>
      <c r="Y199" s="14">
        <f t="shared" si="56"/>
        <v>96000</v>
      </c>
      <c r="Z199" s="2">
        <f t="shared" si="57"/>
        <v>0.90909090909090906</v>
      </c>
      <c r="AA199" s="19">
        <v>0</v>
      </c>
      <c r="AB199" s="1">
        <f t="shared" si="58"/>
        <v>-95999.999999999985</v>
      </c>
      <c r="AC199" s="22">
        <f t="shared" si="59"/>
        <v>1</v>
      </c>
      <c r="AD199" s="23">
        <f t="shared" si="60"/>
        <v>9600.0000000000146</v>
      </c>
    </row>
    <row r="200" spans="1:30" ht="21" customHeight="1">
      <c r="A200" s="26">
        <f t="shared" si="50"/>
        <v>200</v>
      </c>
      <c r="B200" s="41">
        <v>5</v>
      </c>
      <c r="C200" s="42">
        <v>12</v>
      </c>
      <c r="D200" s="27" t="s">
        <v>47</v>
      </c>
      <c r="E200" s="9" t="s">
        <v>463</v>
      </c>
      <c r="F200" s="10">
        <v>2</v>
      </c>
      <c r="G200" s="11">
        <f t="shared" si="51"/>
        <v>77000</v>
      </c>
      <c r="H200" s="31"/>
      <c r="I200" s="18"/>
      <c r="J200" s="95">
        <v>45792</v>
      </c>
      <c r="K200" s="90"/>
      <c r="L200" s="12">
        <v>45789</v>
      </c>
      <c r="M200" s="12">
        <v>45789</v>
      </c>
      <c r="N200" s="1" t="s">
        <v>42</v>
      </c>
      <c r="O200" s="1" t="s">
        <v>108</v>
      </c>
      <c r="P200" s="1" t="s">
        <v>109</v>
      </c>
      <c r="Q200" s="10">
        <v>35000</v>
      </c>
      <c r="R200" s="13">
        <f t="shared" si="52"/>
        <v>70000</v>
      </c>
      <c r="S200" s="1">
        <f t="shared" si="53"/>
        <v>7000</v>
      </c>
      <c r="T200" s="1">
        <v>0</v>
      </c>
      <c r="U200" s="1">
        <f t="shared" si="61"/>
        <v>0</v>
      </c>
      <c r="V200" s="10" t="s">
        <v>41</v>
      </c>
      <c r="W200" s="1" t="s">
        <v>218</v>
      </c>
      <c r="X200" s="14">
        <f t="shared" si="55"/>
        <v>77000</v>
      </c>
      <c r="Y200" s="14">
        <f t="shared" si="56"/>
        <v>70000</v>
      </c>
      <c r="Z200" s="2">
        <f t="shared" si="57"/>
        <v>0.90909090909090906</v>
      </c>
      <c r="AA200" s="19">
        <v>0</v>
      </c>
      <c r="AB200" s="1">
        <f t="shared" si="58"/>
        <v>-70000</v>
      </c>
      <c r="AC200" s="22">
        <f t="shared" si="59"/>
        <v>1</v>
      </c>
      <c r="AD200" s="23">
        <f t="shared" si="60"/>
        <v>7000</v>
      </c>
    </row>
    <row r="201" spans="1:30" ht="21" customHeight="1">
      <c r="A201" s="26">
        <f t="shared" si="50"/>
        <v>201</v>
      </c>
      <c r="B201" s="41">
        <v>5</v>
      </c>
      <c r="C201" s="42">
        <v>13</v>
      </c>
      <c r="D201" s="10" t="s">
        <v>37</v>
      </c>
      <c r="E201" s="9" t="s">
        <v>464</v>
      </c>
      <c r="F201" s="10">
        <v>1</v>
      </c>
      <c r="G201" s="11">
        <f t="shared" si="51"/>
        <v>16500</v>
      </c>
      <c r="H201" s="31"/>
      <c r="I201" s="18"/>
      <c r="J201" s="95">
        <v>45856</v>
      </c>
      <c r="K201" s="90"/>
      <c r="L201" s="12">
        <v>45790</v>
      </c>
      <c r="M201" s="12">
        <v>45805</v>
      </c>
      <c r="N201" s="1" t="s">
        <v>38</v>
      </c>
      <c r="O201" s="1" t="s">
        <v>39</v>
      </c>
      <c r="P201" s="1" t="s">
        <v>213</v>
      </c>
      <c r="Q201" s="10">
        <v>15000</v>
      </c>
      <c r="R201" s="13">
        <f t="shared" si="52"/>
        <v>15000</v>
      </c>
      <c r="S201" s="1">
        <f t="shared" si="53"/>
        <v>1500</v>
      </c>
      <c r="T201" s="1">
        <v>0</v>
      </c>
      <c r="U201" s="1">
        <f t="shared" si="61"/>
        <v>0</v>
      </c>
      <c r="V201" s="10" t="s">
        <v>41</v>
      </c>
      <c r="W201" s="1" t="s">
        <v>242</v>
      </c>
      <c r="X201" s="14">
        <f t="shared" si="55"/>
        <v>16500</v>
      </c>
      <c r="Y201" s="14">
        <f t="shared" si="56"/>
        <v>15000</v>
      </c>
      <c r="Z201" s="2">
        <f t="shared" si="57"/>
        <v>0.90909090909090906</v>
      </c>
      <c r="AA201" s="19">
        <v>0</v>
      </c>
      <c r="AB201" s="1">
        <f t="shared" si="58"/>
        <v>-14999.999999999998</v>
      </c>
      <c r="AC201" s="22">
        <f t="shared" si="59"/>
        <v>1</v>
      </c>
      <c r="AD201" s="23">
        <f t="shared" si="60"/>
        <v>1500.0000000000018</v>
      </c>
    </row>
    <row r="202" spans="1:30" ht="21" customHeight="1">
      <c r="A202" s="26">
        <f t="shared" si="50"/>
        <v>202</v>
      </c>
      <c r="B202" s="41">
        <v>5</v>
      </c>
      <c r="C202" s="42">
        <v>13</v>
      </c>
      <c r="D202" s="10" t="s">
        <v>37</v>
      </c>
      <c r="E202" s="9" t="s">
        <v>464</v>
      </c>
      <c r="F202" s="10">
        <v>1</v>
      </c>
      <c r="G202" s="11">
        <f t="shared" si="51"/>
        <v>24200</v>
      </c>
      <c r="H202" s="31"/>
      <c r="I202" s="18"/>
      <c r="J202" s="95">
        <v>45856</v>
      </c>
      <c r="K202" s="90"/>
      <c r="L202" s="12">
        <v>45790</v>
      </c>
      <c r="M202" s="12">
        <v>45805</v>
      </c>
      <c r="N202" s="1" t="s">
        <v>38</v>
      </c>
      <c r="O202" s="1" t="s">
        <v>39</v>
      </c>
      <c r="P202" s="1" t="s">
        <v>184</v>
      </c>
      <c r="Q202" s="10">
        <v>22000</v>
      </c>
      <c r="R202" s="13">
        <f t="shared" si="52"/>
        <v>22000</v>
      </c>
      <c r="S202" s="1">
        <f t="shared" si="53"/>
        <v>2200</v>
      </c>
      <c r="T202" s="1">
        <v>0</v>
      </c>
      <c r="U202" s="1">
        <f t="shared" si="61"/>
        <v>0</v>
      </c>
      <c r="V202" s="10" t="s">
        <v>41</v>
      </c>
      <c r="W202" s="1" t="s">
        <v>242</v>
      </c>
      <c r="X202" s="14">
        <f t="shared" si="55"/>
        <v>24200</v>
      </c>
      <c r="Y202" s="14">
        <f t="shared" si="56"/>
        <v>22000</v>
      </c>
      <c r="Z202" s="2">
        <f t="shared" si="57"/>
        <v>0.90909090909090906</v>
      </c>
      <c r="AA202" s="19">
        <v>0</v>
      </c>
      <c r="AB202" s="1">
        <f t="shared" si="58"/>
        <v>-22000</v>
      </c>
      <c r="AC202" s="22">
        <f t="shared" si="59"/>
        <v>1</v>
      </c>
      <c r="AD202" s="23">
        <f t="shared" si="60"/>
        <v>2200</v>
      </c>
    </row>
    <row r="203" spans="1:30" ht="21" customHeight="1">
      <c r="A203" s="26">
        <f t="shared" si="50"/>
        <v>203</v>
      </c>
      <c r="B203" s="41">
        <v>5</v>
      </c>
      <c r="C203" s="42">
        <v>13</v>
      </c>
      <c r="D203" s="10" t="s">
        <v>37</v>
      </c>
      <c r="E203" s="9" t="s">
        <v>465</v>
      </c>
      <c r="F203" s="10">
        <v>1</v>
      </c>
      <c r="G203" s="11">
        <f t="shared" si="51"/>
        <v>16500</v>
      </c>
      <c r="H203" s="31"/>
      <c r="I203" s="18"/>
      <c r="J203" s="95">
        <v>45792</v>
      </c>
      <c r="K203" s="90"/>
      <c r="L203" s="12">
        <v>45790</v>
      </c>
      <c r="M203" s="12">
        <v>45790</v>
      </c>
      <c r="N203" s="1" t="s">
        <v>38</v>
      </c>
      <c r="O203" s="1" t="s">
        <v>39</v>
      </c>
      <c r="P203" s="1" t="s">
        <v>83</v>
      </c>
      <c r="Q203" s="10">
        <v>15000</v>
      </c>
      <c r="R203" s="13">
        <f t="shared" si="52"/>
        <v>15000</v>
      </c>
      <c r="S203" s="1">
        <f t="shared" si="53"/>
        <v>1500</v>
      </c>
      <c r="T203" s="1">
        <v>0</v>
      </c>
      <c r="U203" s="1">
        <f t="shared" si="61"/>
        <v>0</v>
      </c>
      <c r="V203" s="10" t="s">
        <v>41</v>
      </c>
      <c r="W203" s="1" t="s">
        <v>183</v>
      </c>
      <c r="X203" s="14">
        <f t="shared" si="55"/>
        <v>16500</v>
      </c>
      <c r="Y203" s="14">
        <f t="shared" si="56"/>
        <v>15000</v>
      </c>
      <c r="Z203" s="2">
        <f t="shared" si="57"/>
        <v>0.90909090909090906</v>
      </c>
      <c r="AA203" s="19">
        <v>0</v>
      </c>
      <c r="AB203" s="1">
        <f t="shared" si="58"/>
        <v>-14999.999999999998</v>
      </c>
      <c r="AC203" s="22">
        <f t="shared" si="59"/>
        <v>1</v>
      </c>
      <c r="AD203" s="23">
        <f t="shared" si="60"/>
        <v>1500.0000000000018</v>
      </c>
    </row>
    <row r="204" spans="1:30" ht="21" customHeight="1">
      <c r="A204" s="26">
        <f t="shared" si="50"/>
        <v>204</v>
      </c>
      <c r="B204" s="41">
        <v>5</v>
      </c>
      <c r="C204" s="42">
        <v>13</v>
      </c>
      <c r="D204" s="10" t="s">
        <v>37</v>
      </c>
      <c r="E204" s="9" t="s">
        <v>466</v>
      </c>
      <c r="F204" s="10">
        <v>1</v>
      </c>
      <c r="G204" s="11">
        <f t="shared" si="51"/>
        <v>44000</v>
      </c>
      <c r="H204" s="31"/>
      <c r="I204" s="18"/>
      <c r="J204" s="95">
        <v>45856</v>
      </c>
      <c r="K204" s="90"/>
      <c r="L204" s="12">
        <v>45805</v>
      </c>
      <c r="M204" s="12">
        <v>45805</v>
      </c>
      <c r="N204" s="1" t="s">
        <v>467</v>
      </c>
      <c r="O204" s="1"/>
      <c r="P204" s="1" t="s">
        <v>468</v>
      </c>
      <c r="Q204" s="10">
        <v>40000</v>
      </c>
      <c r="R204" s="13">
        <f t="shared" si="52"/>
        <v>40000</v>
      </c>
      <c r="S204" s="1">
        <f t="shared" si="53"/>
        <v>4000</v>
      </c>
      <c r="T204" s="1">
        <v>0</v>
      </c>
      <c r="U204" s="1">
        <f t="shared" si="61"/>
        <v>0</v>
      </c>
      <c r="V204" s="10" t="s">
        <v>41</v>
      </c>
      <c r="W204" s="1" t="s">
        <v>199</v>
      </c>
      <c r="X204" s="14">
        <f t="shared" si="55"/>
        <v>44000</v>
      </c>
      <c r="Y204" s="14">
        <f t="shared" si="56"/>
        <v>40000</v>
      </c>
      <c r="Z204" s="2">
        <f t="shared" si="57"/>
        <v>0.90909090909090906</v>
      </c>
      <c r="AA204" s="19">
        <v>0</v>
      </c>
      <c r="AB204" s="1">
        <f t="shared" si="58"/>
        <v>-40000</v>
      </c>
      <c r="AC204" s="22">
        <f t="shared" si="59"/>
        <v>1</v>
      </c>
      <c r="AD204" s="23">
        <f t="shared" si="60"/>
        <v>4000</v>
      </c>
    </row>
    <row r="205" spans="1:30" ht="21" customHeight="1">
      <c r="A205" s="26">
        <f t="shared" si="50"/>
        <v>205</v>
      </c>
      <c r="B205" s="41">
        <v>5</v>
      </c>
      <c r="C205" s="42">
        <v>13</v>
      </c>
      <c r="D205" s="10" t="s">
        <v>37</v>
      </c>
      <c r="E205" s="9" t="s">
        <v>469</v>
      </c>
      <c r="F205" s="10">
        <v>1</v>
      </c>
      <c r="G205" s="11">
        <f t="shared" si="51"/>
        <v>24200</v>
      </c>
      <c r="H205" s="31"/>
      <c r="I205" s="18"/>
      <c r="J205" s="95">
        <v>45810</v>
      </c>
      <c r="K205" s="90"/>
      <c r="L205" s="12">
        <v>45805</v>
      </c>
      <c r="M205" s="12">
        <v>45805</v>
      </c>
      <c r="N205" s="1" t="s">
        <v>38</v>
      </c>
      <c r="O205" s="1"/>
      <c r="P205" s="1" t="s">
        <v>184</v>
      </c>
      <c r="Q205" s="10">
        <v>22000</v>
      </c>
      <c r="R205" s="13">
        <f t="shared" si="52"/>
        <v>22000</v>
      </c>
      <c r="S205" s="1">
        <f t="shared" si="53"/>
        <v>2200</v>
      </c>
      <c r="T205" s="1">
        <v>0</v>
      </c>
      <c r="U205" s="1">
        <f t="shared" si="61"/>
        <v>0</v>
      </c>
      <c r="V205" s="10" t="s">
        <v>41</v>
      </c>
      <c r="W205" s="1" t="s">
        <v>470</v>
      </c>
      <c r="X205" s="14">
        <f t="shared" si="55"/>
        <v>24200</v>
      </c>
      <c r="Y205" s="14">
        <f t="shared" si="56"/>
        <v>22000</v>
      </c>
      <c r="Z205" s="2">
        <f t="shared" si="57"/>
        <v>0.90909090909090906</v>
      </c>
      <c r="AA205" s="19">
        <v>0</v>
      </c>
      <c r="AB205" s="1">
        <f t="shared" si="58"/>
        <v>-22000</v>
      </c>
      <c r="AC205" s="22">
        <f t="shared" si="59"/>
        <v>1</v>
      </c>
      <c r="AD205" s="23">
        <f t="shared" si="60"/>
        <v>2200</v>
      </c>
    </row>
    <row r="206" spans="1:30" ht="21" customHeight="1">
      <c r="A206" s="26">
        <f t="shared" si="50"/>
        <v>206</v>
      </c>
      <c r="B206" s="41">
        <v>5</v>
      </c>
      <c r="C206" s="42">
        <v>13</v>
      </c>
      <c r="D206" s="10" t="s">
        <v>37</v>
      </c>
      <c r="E206" s="9" t="s">
        <v>469</v>
      </c>
      <c r="F206" s="10">
        <v>1</v>
      </c>
      <c r="G206" s="11">
        <f t="shared" si="51"/>
        <v>27500</v>
      </c>
      <c r="H206" s="31"/>
      <c r="I206" s="18"/>
      <c r="J206" s="95">
        <v>45810</v>
      </c>
      <c r="K206" s="90"/>
      <c r="L206" s="12">
        <v>45805</v>
      </c>
      <c r="M206" s="12">
        <v>45805</v>
      </c>
      <c r="N206" s="1" t="s">
        <v>42</v>
      </c>
      <c r="O206" s="1"/>
      <c r="P206" s="1" t="s">
        <v>72</v>
      </c>
      <c r="Q206" s="10">
        <v>25000</v>
      </c>
      <c r="R206" s="13">
        <f t="shared" si="52"/>
        <v>25000</v>
      </c>
      <c r="S206" s="1">
        <f t="shared" si="53"/>
        <v>2500</v>
      </c>
      <c r="T206" s="1">
        <v>0</v>
      </c>
      <c r="U206" s="1">
        <f t="shared" si="61"/>
        <v>0</v>
      </c>
      <c r="V206" s="10" t="s">
        <v>41</v>
      </c>
      <c r="W206" s="1" t="s">
        <v>470</v>
      </c>
      <c r="X206" s="14">
        <f t="shared" si="55"/>
        <v>27500</v>
      </c>
      <c r="Y206" s="14">
        <f t="shared" si="56"/>
        <v>25000</v>
      </c>
      <c r="Z206" s="2">
        <f t="shared" si="57"/>
        <v>0.90909090909090906</v>
      </c>
      <c r="AA206" s="19">
        <v>0</v>
      </c>
      <c r="AB206" s="1">
        <f t="shared" si="58"/>
        <v>-24999.999999999996</v>
      </c>
      <c r="AC206" s="22">
        <f t="shared" si="59"/>
        <v>1</v>
      </c>
      <c r="AD206" s="23">
        <f t="shared" si="60"/>
        <v>2500.0000000000036</v>
      </c>
    </row>
    <row r="207" spans="1:30" ht="21" customHeight="1">
      <c r="A207" s="26">
        <f t="shared" si="50"/>
        <v>207</v>
      </c>
      <c r="B207" s="41">
        <v>5</v>
      </c>
      <c r="C207" s="42">
        <v>13</v>
      </c>
      <c r="D207" s="10" t="s">
        <v>37</v>
      </c>
      <c r="E207" s="9" t="s">
        <v>471</v>
      </c>
      <c r="F207" s="10">
        <v>1</v>
      </c>
      <c r="G207" s="11">
        <f t="shared" si="51"/>
        <v>24200</v>
      </c>
      <c r="H207" s="31"/>
      <c r="I207" s="18"/>
      <c r="J207" s="95">
        <v>45810</v>
      </c>
      <c r="K207" s="90"/>
      <c r="L207" s="12">
        <v>45805</v>
      </c>
      <c r="M207" s="12">
        <v>45805</v>
      </c>
      <c r="N207" s="1" t="s">
        <v>38</v>
      </c>
      <c r="O207" s="1"/>
      <c r="P207" s="1" t="s">
        <v>184</v>
      </c>
      <c r="Q207" s="10">
        <v>22000</v>
      </c>
      <c r="R207" s="13">
        <f t="shared" si="52"/>
        <v>22000</v>
      </c>
      <c r="S207" s="1">
        <f t="shared" si="53"/>
        <v>2200</v>
      </c>
      <c r="T207" s="1">
        <v>0</v>
      </c>
      <c r="U207" s="1">
        <f t="shared" si="61"/>
        <v>0</v>
      </c>
      <c r="V207" s="10" t="s">
        <v>41</v>
      </c>
      <c r="W207" s="1" t="s">
        <v>470</v>
      </c>
      <c r="X207" s="14">
        <f t="shared" si="55"/>
        <v>24200</v>
      </c>
      <c r="Y207" s="14">
        <f t="shared" si="56"/>
        <v>22000</v>
      </c>
      <c r="Z207" s="2">
        <f t="shared" si="57"/>
        <v>0.90909090909090906</v>
      </c>
      <c r="AA207" s="19">
        <v>0</v>
      </c>
      <c r="AB207" s="1">
        <f t="shared" si="58"/>
        <v>-22000</v>
      </c>
      <c r="AC207" s="20">
        <f t="shared" si="59"/>
        <v>1</v>
      </c>
      <c r="AD207" s="21">
        <f t="shared" si="60"/>
        <v>2200</v>
      </c>
    </row>
    <row r="208" spans="1:30" ht="21" customHeight="1">
      <c r="A208" s="26">
        <f t="shared" si="50"/>
        <v>208</v>
      </c>
      <c r="B208" s="41">
        <v>5</v>
      </c>
      <c r="C208" s="42">
        <v>14</v>
      </c>
      <c r="D208" s="1" t="s">
        <v>70</v>
      </c>
      <c r="E208" s="9" t="s">
        <v>451</v>
      </c>
      <c r="F208" s="10">
        <v>1</v>
      </c>
      <c r="G208" s="11">
        <f t="shared" si="51"/>
        <v>30800</v>
      </c>
      <c r="H208" s="31"/>
      <c r="I208" s="33"/>
      <c r="J208" s="96"/>
      <c r="K208" s="90"/>
      <c r="L208" s="12">
        <v>45805</v>
      </c>
      <c r="M208" s="25" t="s">
        <v>57</v>
      </c>
      <c r="N208" s="1" t="s">
        <v>38</v>
      </c>
      <c r="O208" s="1" t="s">
        <v>39</v>
      </c>
      <c r="P208" s="1" t="s">
        <v>472</v>
      </c>
      <c r="Q208" s="10">
        <v>28000</v>
      </c>
      <c r="R208" s="13">
        <f t="shared" si="52"/>
        <v>28000</v>
      </c>
      <c r="S208" s="1">
        <f t="shared" si="53"/>
        <v>2800</v>
      </c>
      <c r="T208" s="1">
        <v>0</v>
      </c>
      <c r="U208" s="1">
        <f t="shared" si="61"/>
        <v>0</v>
      </c>
      <c r="V208" s="10" t="s">
        <v>41</v>
      </c>
      <c r="W208" s="1" t="s">
        <v>161</v>
      </c>
      <c r="X208" s="14">
        <f t="shared" si="55"/>
        <v>13420</v>
      </c>
      <c r="Y208" s="14">
        <f t="shared" si="56"/>
        <v>10620</v>
      </c>
      <c r="Z208" s="2">
        <f t="shared" si="57"/>
        <v>0.34480519480519478</v>
      </c>
      <c r="AA208" s="19">
        <v>17380</v>
      </c>
      <c r="AB208" s="1">
        <f t="shared" si="58"/>
        <v>-12199.999999999998</v>
      </c>
      <c r="AC208" s="22">
        <f t="shared" si="59"/>
        <v>0.43571428571428572</v>
      </c>
      <c r="AD208" s="23">
        <f t="shared" si="60"/>
        <v>1220.0000000000018</v>
      </c>
    </row>
    <row r="209" spans="1:30" ht="21" customHeight="1">
      <c r="A209" s="26">
        <f t="shared" si="50"/>
        <v>209</v>
      </c>
      <c r="B209" s="41">
        <v>5</v>
      </c>
      <c r="C209" s="42">
        <v>15</v>
      </c>
      <c r="D209" s="1" t="s">
        <v>47</v>
      </c>
      <c r="E209" s="9" t="s">
        <v>473</v>
      </c>
      <c r="F209" s="10">
        <v>4</v>
      </c>
      <c r="G209" s="11">
        <f t="shared" si="51"/>
        <v>123200</v>
      </c>
      <c r="H209" s="31"/>
      <c r="I209" s="18"/>
      <c r="J209" s="95">
        <v>45797</v>
      </c>
      <c r="K209" s="90"/>
      <c r="L209" s="12">
        <v>45793</v>
      </c>
      <c r="M209" s="12">
        <v>45792</v>
      </c>
      <c r="N209" s="1" t="s">
        <v>148</v>
      </c>
      <c r="O209" s="1"/>
      <c r="P209" s="1" t="s">
        <v>151</v>
      </c>
      <c r="Q209" s="10">
        <v>28000</v>
      </c>
      <c r="R209" s="13">
        <f t="shared" si="52"/>
        <v>112000</v>
      </c>
      <c r="S209" s="1">
        <f t="shared" si="53"/>
        <v>11200</v>
      </c>
      <c r="T209" s="1">
        <v>0</v>
      </c>
      <c r="U209" s="1">
        <f t="shared" si="61"/>
        <v>0</v>
      </c>
      <c r="V209" s="10" t="s">
        <v>41</v>
      </c>
      <c r="W209" s="1" t="s">
        <v>474</v>
      </c>
      <c r="X209" s="14">
        <f t="shared" si="55"/>
        <v>123200</v>
      </c>
      <c r="Y209" s="14">
        <f t="shared" si="56"/>
        <v>112000</v>
      </c>
      <c r="Z209" s="2">
        <f t="shared" si="57"/>
        <v>0.90909090909090906</v>
      </c>
      <c r="AA209" s="19">
        <v>0</v>
      </c>
      <c r="AB209" s="1">
        <f t="shared" si="58"/>
        <v>-111999.99999999999</v>
      </c>
      <c r="AC209" s="22">
        <f t="shared" si="59"/>
        <v>1</v>
      </c>
      <c r="AD209" s="23">
        <f t="shared" si="60"/>
        <v>11200.000000000015</v>
      </c>
    </row>
    <row r="210" spans="1:30" ht="21" customHeight="1">
      <c r="A210" s="26">
        <f t="shared" si="50"/>
        <v>210</v>
      </c>
      <c r="B210" s="41">
        <v>5</v>
      </c>
      <c r="C210" s="42">
        <v>15</v>
      </c>
      <c r="D210" s="1" t="s">
        <v>47</v>
      </c>
      <c r="E210" s="9" t="s">
        <v>473</v>
      </c>
      <c r="F210" s="10">
        <v>4</v>
      </c>
      <c r="G210" s="11">
        <f t="shared" si="51"/>
        <v>154000</v>
      </c>
      <c r="H210" s="31"/>
      <c r="I210" s="18"/>
      <c r="J210" s="95">
        <v>45797</v>
      </c>
      <c r="K210" s="90"/>
      <c r="L210" s="12">
        <v>45793</v>
      </c>
      <c r="M210" s="12">
        <v>45792</v>
      </c>
      <c r="N210" s="1" t="s">
        <v>42</v>
      </c>
      <c r="O210" s="1"/>
      <c r="P210" s="1" t="s">
        <v>109</v>
      </c>
      <c r="Q210" s="10">
        <v>35000</v>
      </c>
      <c r="R210" s="13">
        <f t="shared" si="52"/>
        <v>140000</v>
      </c>
      <c r="S210" s="1">
        <f t="shared" si="53"/>
        <v>14000</v>
      </c>
      <c r="T210" s="1">
        <v>0</v>
      </c>
      <c r="U210" s="1">
        <f t="shared" si="61"/>
        <v>0</v>
      </c>
      <c r="V210" s="10" t="s">
        <v>41</v>
      </c>
      <c r="W210" s="1" t="s">
        <v>474</v>
      </c>
      <c r="X210" s="14">
        <f t="shared" si="55"/>
        <v>154000</v>
      </c>
      <c r="Y210" s="14">
        <f t="shared" si="56"/>
        <v>140000</v>
      </c>
      <c r="Z210" s="2">
        <f t="shared" si="57"/>
        <v>0.90909090909090906</v>
      </c>
      <c r="AA210" s="19">
        <v>0</v>
      </c>
      <c r="AB210" s="1">
        <f t="shared" si="58"/>
        <v>-140000</v>
      </c>
      <c r="AC210" s="22">
        <f t="shared" si="59"/>
        <v>1</v>
      </c>
      <c r="AD210" s="23">
        <f t="shared" si="60"/>
        <v>14000</v>
      </c>
    </row>
    <row r="211" spans="1:30" ht="21" customHeight="1">
      <c r="A211" s="26">
        <f t="shared" si="50"/>
        <v>211</v>
      </c>
      <c r="B211" s="41">
        <v>5</v>
      </c>
      <c r="C211" s="42">
        <v>15</v>
      </c>
      <c r="D211" s="1" t="s">
        <v>47</v>
      </c>
      <c r="E211" s="9" t="s">
        <v>475</v>
      </c>
      <c r="F211" s="10">
        <v>14</v>
      </c>
      <c r="G211" s="11">
        <f t="shared" si="51"/>
        <v>184800</v>
      </c>
      <c r="H211" s="32"/>
      <c r="I211" s="18"/>
      <c r="J211" s="95">
        <v>45797</v>
      </c>
      <c r="K211" s="90"/>
      <c r="L211" s="12">
        <v>45793</v>
      </c>
      <c r="M211" s="12">
        <v>45792</v>
      </c>
      <c r="N211" s="1" t="s">
        <v>476</v>
      </c>
      <c r="O211" s="1" t="s">
        <v>245</v>
      </c>
      <c r="P211" s="1" t="s">
        <v>35</v>
      </c>
      <c r="Q211" s="10">
        <v>12000</v>
      </c>
      <c r="R211" s="13">
        <f t="shared" si="52"/>
        <v>168000</v>
      </c>
      <c r="S211" s="1">
        <f t="shared" si="53"/>
        <v>16800</v>
      </c>
      <c r="T211" s="1">
        <v>0</v>
      </c>
      <c r="U211" s="1">
        <f t="shared" si="61"/>
        <v>0</v>
      </c>
      <c r="V211" s="10" t="s">
        <v>41</v>
      </c>
      <c r="W211" s="1" t="s">
        <v>204</v>
      </c>
      <c r="X211" s="14">
        <f t="shared" si="55"/>
        <v>-118500</v>
      </c>
      <c r="Y211" s="14">
        <f t="shared" si="56"/>
        <v>-135300</v>
      </c>
      <c r="Z211" s="2">
        <f t="shared" ref="Z211:Z213" si="62">X211/G211</f>
        <v>-0.64123376623376627</v>
      </c>
      <c r="AA211" s="19">
        <v>303300</v>
      </c>
      <c r="AB211" s="1">
        <f t="shared" si="58"/>
        <v>107727.27272727271</v>
      </c>
      <c r="AC211" s="20">
        <f t="shared" si="59"/>
        <v>-0.64123376623376616</v>
      </c>
      <c r="AD211" s="21">
        <f t="shared" si="60"/>
        <v>-10772.727272727294</v>
      </c>
    </row>
    <row r="212" spans="1:30" ht="21" customHeight="1">
      <c r="A212" s="26">
        <f t="shared" si="50"/>
        <v>212</v>
      </c>
      <c r="B212" s="41">
        <v>5</v>
      </c>
      <c r="C212" s="42">
        <v>15</v>
      </c>
      <c r="D212" s="1" t="s">
        <v>47</v>
      </c>
      <c r="E212" s="9" t="s">
        <v>67</v>
      </c>
      <c r="F212" s="10">
        <v>2000</v>
      </c>
      <c r="G212" s="11">
        <f t="shared" si="51"/>
        <v>528000</v>
      </c>
      <c r="H212" s="31"/>
      <c r="I212" s="18"/>
      <c r="J212" s="95">
        <v>45798</v>
      </c>
      <c r="K212" s="90"/>
      <c r="L212" s="12">
        <v>45793</v>
      </c>
      <c r="M212" s="12">
        <v>45792</v>
      </c>
      <c r="N212" s="1" t="s">
        <v>152</v>
      </c>
      <c r="O212" s="1" t="s">
        <v>153</v>
      </c>
      <c r="P212" s="1" t="s">
        <v>69</v>
      </c>
      <c r="Q212" s="10">
        <v>240</v>
      </c>
      <c r="R212" s="13">
        <f t="shared" si="52"/>
        <v>480000</v>
      </c>
      <c r="S212" s="1">
        <f t="shared" si="53"/>
        <v>48000</v>
      </c>
      <c r="T212" s="1">
        <v>0</v>
      </c>
      <c r="U212" s="1">
        <f t="shared" si="61"/>
        <v>0</v>
      </c>
      <c r="V212" s="10" t="s">
        <v>36</v>
      </c>
      <c r="W212" s="1" t="s">
        <v>137</v>
      </c>
      <c r="X212" s="14">
        <f t="shared" si="55"/>
        <v>202770</v>
      </c>
      <c r="Y212" s="14">
        <f t="shared" si="56"/>
        <v>154770</v>
      </c>
      <c r="Z212" s="2">
        <f t="shared" si="62"/>
        <v>0.38403409090909091</v>
      </c>
      <c r="AA212" s="19">
        <v>325230</v>
      </c>
      <c r="AB212" s="1">
        <f t="shared" si="58"/>
        <v>-184336.36363636359</v>
      </c>
      <c r="AC212" s="22">
        <f t="shared" si="59"/>
        <v>0.38403409090909085</v>
      </c>
      <c r="AD212" s="23">
        <f t="shared" si="60"/>
        <v>18433.636363636411</v>
      </c>
    </row>
    <row r="213" spans="1:30" ht="21" customHeight="1">
      <c r="A213" s="26">
        <f t="shared" si="50"/>
        <v>213</v>
      </c>
      <c r="B213" s="41">
        <v>5</v>
      </c>
      <c r="C213" s="42">
        <v>15</v>
      </c>
      <c r="D213" s="1" t="s">
        <v>47</v>
      </c>
      <c r="E213" s="9" t="s">
        <v>477</v>
      </c>
      <c r="F213" s="10">
        <v>1</v>
      </c>
      <c r="G213" s="11">
        <f t="shared" si="51"/>
        <v>55000</v>
      </c>
      <c r="H213" s="31"/>
      <c r="I213" s="18"/>
      <c r="J213" s="95">
        <v>45798</v>
      </c>
      <c r="K213" s="90"/>
      <c r="L213" s="12">
        <v>45793</v>
      </c>
      <c r="M213" s="12">
        <v>45792</v>
      </c>
      <c r="N213" s="1" t="s">
        <v>478</v>
      </c>
      <c r="O213" s="33"/>
      <c r="P213" s="1" t="s">
        <v>72</v>
      </c>
      <c r="Q213" s="10">
        <v>50000</v>
      </c>
      <c r="R213" s="13">
        <f t="shared" si="52"/>
        <v>50000</v>
      </c>
      <c r="S213" s="1">
        <f t="shared" si="53"/>
        <v>5000</v>
      </c>
      <c r="T213" s="1">
        <v>0</v>
      </c>
      <c r="U213" s="1">
        <f t="shared" si="61"/>
        <v>0</v>
      </c>
      <c r="V213" s="10" t="s">
        <v>41</v>
      </c>
      <c r="W213" s="1" t="s">
        <v>137</v>
      </c>
      <c r="X213" s="14">
        <f t="shared" si="55"/>
        <v>20000</v>
      </c>
      <c r="Y213" s="14">
        <f t="shared" si="56"/>
        <v>15000</v>
      </c>
      <c r="Z213" s="2">
        <f t="shared" si="62"/>
        <v>0.36363636363636365</v>
      </c>
      <c r="AA213" s="19">
        <v>35000</v>
      </c>
      <c r="AB213" s="1">
        <f t="shared" si="58"/>
        <v>-18181.818181818177</v>
      </c>
      <c r="AC213" s="22">
        <f t="shared" si="59"/>
        <v>0.36363636363636359</v>
      </c>
      <c r="AD213" s="23">
        <f t="shared" si="60"/>
        <v>1818.1818181818235</v>
      </c>
    </row>
    <row r="214" spans="1:30" ht="21" customHeight="1">
      <c r="A214" s="26">
        <f t="shared" si="50"/>
        <v>214</v>
      </c>
      <c r="B214" s="41">
        <v>5</v>
      </c>
      <c r="C214" s="42">
        <v>15</v>
      </c>
      <c r="D214" s="1" t="s">
        <v>47</v>
      </c>
      <c r="E214" s="9" t="s">
        <v>473</v>
      </c>
      <c r="F214" s="10">
        <v>4</v>
      </c>
      <c r="G214" s="11">
        <f t="shared" si="51"/>
        <v>112200</v>
      </c>
      <c r="H214" s="31"/>
      <c r="I214" s="33"/>
      <c r="J214" s="96"/>
      <c r="K214" s="90"/>
      <c r="L214" s="12">
        <v>45793</v>
      </c>
      <c r="M214" s="12">
        <v>45792</v>
      </c>
      <c r="N214" s="1" t="s">
        <v>148</v>
      </c>
      <c r="O214" s="1"/>
      <c r="P214" s="1" t="s">
        <v>94</v>
      </c>
      <c r="Q214" s="10">
        <v>24000</v>
      </c>
      <c r="R214" s="13">
        <f t="shared" si="52"/>
        <v>96000</v>
      </c>
      <c r="S214" s="1">
        <f t="shared" si="53"/>
        <v>9600</v>
      </c>
      <c r="T214" s="1">
        <v>6000</v>
      </c>
      <c r="U214" s="1">
        <f t="shared" si="61"/>
        <v>600</v>
      </c>
      <c r="V214" s="10" t="s">
        <v>41</v>
      </c>
      <c r="W214" s="1" t="s">
        <v>180</v>
      </c>
      <c r="X214" s="14">
        <f t="shared" si="55"/>
        <v>112200</v>
      </c>
      <c r="Y214" s="14">
        <f t="shared" si="56"/>
        <v>102600</v>
      </c>
      <c r="Z214" s="2">
        <f t="shared" ref="Z214:Z217" si="63">Y214/G214</f>
        <v>0.91443850267379678</v>
      </c>
      <c r="AA214" s="19">
        <v>0</v>
      </c>
      <c r="AB214" s="1">
        <f t="shared" si="58"/>
        <v>-101999.99999999999</v>
      </c>
      <c r="AC214" s="22">
        <f t="shared" si="59"/>
        <v>1</v>
      </c>
      <c r="AD214" s="23">
        <f t="shared" si="60"/>
        <v>10200.000000000015</v>
      </c>
    </row>
    <row r="215" spans="1:30" ht="21" customHeight="1">
      <c r="A215" s="26">
        <f t="shared" si="50"/>
        <v>215</v>
      </c>
      <c r="B215" s="41">
        <v>5</v>
      </c>
      <c r="C215" s="42">
        <v>15</v>
      </c>
      <c r="D215" s="1" t="s">
        <v>47</v>
      </c>
      <c r="E215" s="9" t="s">
        <v>473</v>
      </c>
      <c r="F215" s="10">
        <v>4</v>
      </c>
      <c r="G215" s="11">
        <f t="shared" si="51"/>
        <v>154000</v>
      </c>
      <c r="H215" s="31"/>
      <c r="I215" s="33"/>
      <c r="J215" s="96"/>
      <c r="K215" s="90"/>
      <c r="L215" s="12">
        <v>45793</v>
      </c>
      <c r="M215" s="12">
        <v>45792</v>
      </c>
      <c r="N215" s="1" t="s">
        <v>42</v>
      </c>
      <c r="O215" s="1"/>
      <c r="P215" s="1" t="s">
        <v>109</v>
      </c>
      <c r="Q215" s="10">
        <v>35000</v>
      </c>
      <c r="R215" s="13">
        <f t="shared" si="52"/>
        <v>140000</v>
      </c>
      <c r="S215" s="1">
        <f t="shared" si="53"/>
        <v>14000</v>
      </c>
      <c r="T215" s="1">
        <v>0</v>
      </c>
      <c r="U215" s="1">
        <f t="shared" si="61"/>
        <v>0</v>
      </c>
      <c r="V215" s="10" t="s">
        <v>41</v>
      </c>
      <c r="W215" s="1" t="s">
        <v>180</v>
      </c>
      <c r="X215" s="14">
        <f t="shared" si="55"/>
        <v>154000</v>
      </c>
      <c r="Y215" s="14">
        <f t="shared" si="56"/>
        <v>140000</v>
      </c>
      <c r="Z215" s="2">
        <f t="shared" si="63"/>
        <v>0.90909090909090906</v>
      </c>
      <c r="AA215" s="19">
        <v>0</v>
      </c>
      <c r="AB215" s="1">
        <f t="shared" si="58"/>
        <v>-140000</v>
      </c>
      <c r="AC215" s="22">
        <f t="shared" si="59"/>
        <v>1</v>
      </c>
      <c r="AD215" s="23">
        <f t="shared" si="60"/>
        <v>14000</v>
      </c>
    </row>
    <row r="216" spans="1:30" ht="21" customHeight="1">
      <c r="A216" s="26">
        <f t="shared" si="50"/>
        <v>216</v>
      </c>
      <c r="B216" s="41">
        <v>5</v>
      </c>
      <c r="C216" s="42">
        <v>15</v>
      </c>
      <c r="D216" s="1" t="s">
        <v>47</v>
      </c>
      <c r="E216" s="9" t="s">
        <v>473</v>
      </c>
      <c r="F216" s="10">
        <v>6</v>
      </c>
      <c r="G216" s="11">
        <f t="shared" si="51"/>
        <v>184800</v>
      </c>
      <c r="H216" s="31"/>
      <c r="I216" s="18"/>
      <c r="J216" s="95">
        <v>45803</v>
      </c>
      <c r="K216" s="90"/>
      <c r="L216" s="12">
        <v>45793</v>
      </c>
      <c r="M216" s="12">
        <v>45792</v>
      </c>
      <c r="N216" s="1" t="s">
        <v>128</v>
      </c>
      <c r="O216" s="1"/>
      <c r="P216" s="1" t="s">
        <v>94</v>
      </c>
      <c r="Q216" s="10">
        <v>28000</v>
      </c>
      <c r="R216" s="13">
        <f t="shared" si="52"/>
        <v>168000</v>
      </c>
      <c r="S216" s="1">
        <f t="shared" si="53"/>
        <v>16800</v>
      </c>
      <c r="T216" s="1">
        <v>0</v>
      </c>
      <c r="U216" s="1">
        <f t="shared" si="61"/>
        <v>0</v>
      </c>
      <c r="V216" s="10" t="s">
        <v>41</v>
      </c>
      <c r="W216" s="1" t="s">
        <v>204</v>
      </c>
      <c r="X216" s="14">
        <f t="shared" si="55"/>
        <v>184800</v>
      </c>
      <c r="Y216" s="14">
        <f t="shared" si="56"/>
        <v>168000</v>
      </c>
      <c r="Z216" s="2">
        <f t="shared" si="63"/>
        <v>0.90909090909090906</v>
      </c>
      <c r="AA216" s="19">
        <v>0</v>
      </c>
      <c r="AB216" s="1">
        <f t="shared" si="58"/>
        <v>-168000</v>
      </c>
      <c r="AC216" s="22">
        <f t="shared" si="59"/>
        <v>1</v>
      </c>
      <c r="AD216" s="23">
        <f t="shared" si="60"/>
        <v>16800</v>
      </c>
    </row>
    <row r="217" spans="1:30" ht="21" customHeight="1">
      <c r="A217" s="26">
        <f t="shared" si="50"/>
        <v>217</v>
      </c>
      <c r="B217" s="41">
        <v>5</v>
      </c>
      <c r="C217" s="42">
        <v>15</v>
      </c>
      <c r="D217" s="1" t="s">
        <v>47</v>
      </c>
      <c r="E217" s="9" t="s">
        <v>473</v>
      </c>
      <c r="F217" s="10">
        <v>6</v>
      </c>
      <c r="G217" s="11">
        <f t="shared" si="51"/>
        <v>231000</v>
      </c>
      <c r="H217" s="31"/>
      <c r="I217" s="18"/>
      <c r="J217" s="95">
        <v>45803</v>
      </c>
      <c r="K217" s="90"/>
      <c r="L217" s="12">
        <v>45793</v>
      </c>
      <c r="M217" s="12">
        <v>45792</v>
      </c>
      <c r="N217" s="1" t="s">
        <v>42</v>
      </c>
      <c r="O217" s="1"/>
      <c r="P217" s="1" t="s">
        <v>109</v>
      </c>
      <c r="Q217" s="10">
        <v>35000</v>
      </c>
      <c r="R217" s="13">
        <f t="shared" si="52"/>
        <v>210000</v>
      </c>
      <c r="S217" s="1">
        <f t="shared" si="53"/>
        <v>21000</v>
      </c>
      <c r="T217" s="1">
        <v>0</v>
      </c>
      <c r="U217" s="1">
        <f t="shared" si="61"/>
        <v>0</v>
      </c>
      <c r="V217" s="10" t="s">
        <v>41</v>
      </c>
      <c r="W217" s="1" t="s">
        <v>204</v>
      </c>
      <c r="X217" s="14">
        <f t="shared" si="55"/>
        <v>231000</v>
      </c>
      <c r="Y217" s="14">
        <f t="shared" si="56"/>
        <v>210000</v>
      </c>
      <c r="Z217" s="2">
        <f t="shared" si="63"/>
        <v>0.90909090909090906</v>
      </c>
      <c r="AA217" s="19">
        <v>0</v>
      </c>
      <c r="AB217" s="1">
        <f t="shared" si="58"/>
        <v>-209999.99999999997</v>
      </c>
      <c r="AC217" s="22">
        <f t="shared" si="59"/>
        <v>1</v>
      </c>
      <c r="AD217" s="23">
        <f t="shared" si="60"/>
        <v>21000.000000000029</v>
      </c>
    </row>
    <row r="218" spans="1:30" ht="21" customHeight="1">
      <c r="A218" s="26">
        <f t="shared" si="50"/>
        <v>218</v>
      </c>
      <c r="B218" s="41">
        <v>5</v>
      </c>
      <c r="C218" s="42">
        <v>15</v>
      </c>
      <c r="D218" s="1" t="s">
        <v>47</v>
      </c>
      <c r="E218" s="9" t="s">
        <v>477</v>
      </c>
      <c r="F218" s="10">
        <v>1</v>
      </c>
      <c r="G218" s="11">
        <f t="shared" si="51"/>
        <v>55000</v>
      </c>
      <c r="H218" s="31"/>
      <c r="I218" s="18"/>
      <c r="J218" s="95">
        <v>45803</v>
      </c>
      <c r="K218" s="90"/>
      <c r="L218" s="12">
        <v>45793</v>
      </c>
      <c r="M218" s="12">
        <v>45792</v>
      </c>
      <c r="N218" s="1" t="s">
        <v>478</v>
      </c>
      <c r="O218" s="1"/>
      <c r="P218" s="1" t="s">
        <v>72</v>
      </c>
      <c r="Q218" s="10">
        <v>50000</v>
      </c>
      <c r="R218" s="13">
        <f t="shared" si="52"/>
        <v>50000</v>
      </c>
      <c r="S218" s="1">
        <f t="shared" si="53"/>
        <v>5000</v>
      </c>
      <c r="T218" s="1">
        <v>0</v>
      </c>
      <c r="U218" s="1">
        <f t="shared" si="61"/>
        <v>0</v>
      </c>
      <c r="V218" s="10" t="s">
        <v>41</v>
      </c>
      <c r="W218" s="1" t="s">
        <v>204</v>
      </c>
      <c r="X218" s="14">
        <f t="shared" si="55"/>
        <v>20000</v>
      </c>
      <c r="Y218" s="14">
        <f t="shared" si="56"/>
        <v>15000</v>
      </c>
      <c r="Z218" s="2">
        <f t="shared" ref="Z218:Z219" si="64">X218/G218</f>
        <v>0.36363636363636365</v>
      </c>
      <c r="AA218" s="19">
        <v>35000</v>
      </c>
      <c r="AB218" s="1">
        <f t="shared" si="58"/>
        <v>-18181.818181818177</v>
      </c>
      <c r="AC218" s="22">
        <f t="shared" si="59"/>
        <v>0.36363636363636359</v>
      </c>
      <c r="AD218" s="23">
        <f t="shared" si="60"/>
        <v>1818.1818181818235</v>
      </c>
    </row>
    <row r="219" spans="1:30" ht="21" customHeight="1">
      <c r="A219" s="26">
        <f t="shared" si="50"/>
        <v>219</v>
      </c>
      <c r="B219" s="41">
        <v>5</v>
      </c>
      <c r="C219" s="42">
        <v>19</v>
      </c>
      <c r="D219" s="1" t="s">
        <v>47</v>
      </c>
      <c r="E219" s="9" t="s">
        <v>148</v>
      </c>
      <c r="F219" s="10">
        <v>5</v>
      </c>
      <c r="G219" s="11">
        <f t="shared" si="51"/>
        <v>132000</v>
      </c>
      <c r="H219" s="31"/>
      <c r="I219" s="33"/>
      <c r="J219" s="96"/>
      <c r="K219" s="90"/>
      <c r="L219" s="12">
        <v>45805</v>
      </c>
      <c r="M219" s="12"/>
      <c r="N219" s="1" t="s">
        <v>38</v>
      </c>
      <c r="O219" s="1" t="s">
        <v>395</v>
      </c>
      <c r="P219" s="1" t="s">
        <v>396</v>
      </c>
      <c r="Q219" s="10">
        <v>24000</v>
      </c>
      <c r="R219" s="13">
        <f t="shared" si="52"/>
        <v>120000</v>
      </c>
      <c r="S219" s="1">
        <f t="shared" si="53"/>
        <v>12000</v>
      </c>
      <c r="T219" s="1">
        <v>0</v>
      </c>
      <c r="U219" s="1">
        <f t="shared" si="61"/>
        <v>0</v>
      </c>
      <c r="V219" s="10" t="s">
        <v>41</v>
      </c>
      <c r="W219" s="1" t="s">
        <v>387</v>
      </c>
      <c r="X219" s="14">
        <f t="shared" si="55"/>
        <v>132000</v>
      </c>
      <c r="Y219" s="14">
        <f t="shared" si="56"/>
        <v>120000</v>
      </c>
      <c r="Z219" s="2">
        <f t="shared" si="64"/>
        <v>1</v>
      </c>
      <c r="AA219" s="19">
        <v>0</v>
      </c>
      <c r="AB219" s="1">
        <f t="shared" si="58"/>
        <v>-119999.99999999999</v>
      </c>
      <c r="AC219" s="22">
        <f t="shared" si="59"/>
        <v>1</v>
      </c>
      <c r="AD219" s="23">
        <f t="shared" si="60"/>
        <v>12000.000000000015</v>
      </c>
    </row>
    <row r="220" spans="1:30" ht="21" customHeight="1">
      <c r="A220" s="26">
        <f t="shared" si="50"/>
        <v>220</v>
      </c>
      <c r="B220" s="41">
        <v>5</v>
      </c>
      <c r="C220" s="42">
        <v>19</v>
      </c>
      <c r="D220" s="1" t="s">
        <v>47</v>
      </c>
      <c r="E220" s="9" t="s">
        <v>110</v>
      </c>
      <c r="F220" s="10">
        <v>1</v>
      </c>
      <c r="G220" s="11">
        <f t="shared" si="51"/>
        <v>473000</v>
      </c>
      <c r="H220" s="31"/>
      <c r="I220" s="33"/>
      <c r="J220" s="96"/>
      <c r="K220" s="90"/>
      <c r="L220" s="12">
        <v>45805</v>
      </c>
      <c r="M220" s="12"/>
      <c r="N220" s="1" t="s">
        <v>43</v>
      </c>
      <c r="O220" s="1" t="s">
        <v>111</v>
      </c>
      <c r="P220" s="1" t="s">
        <v>44</v>
      </c>
      <c r="Q220" s="10">
        <v>430000</v>
      </c>
      <c r="R220" s="13">
        <f t="shared" si="52"/>
        <v>430000</v>
      </c>
      <c r="S220" s="1">
        <f t="shared" si="53"/>
        <v>43000</v>
      </c>
      <c r="T220" s="1">
        <v>0</v>
      </c>
      <c r="U220" s="1">
        <f t="shared" si="61"/>
        <v>0</v>
      </c>
      <c r="V220" s="10" t="s">
        <v>46</v>
      </c>
      <c r="W220" s="1" t="s">
        <v>387</v>
      </c>
      <c r="X220" s="14">
        <f t="shared" si="55"/>
        <v>253300</v>
      </c>
      <c r="Y220" s="14">
        <f t="shared" si="56"/>
        <v>210300</v>
      </c>
      <c r="Z220" s="2">
        <f t="shared" ref="Z220:Z231" si="65">Y220/G220</f>
        <v>0.44460887949260042</v>
      </c>
      <c r="AA220" s="19">
        <v>219700</v>
      </c>
      <c r="AB220" s="1">
        <f t="shared" si="58"/>
        <v>-230272.72727272724</v>
      </c>
      <c r="AC220" s="22">
        <f t="shared" si="59"/>
        <v>0.53551797040169136</v>
      </c>
      <c r="AD220" s="23">
        <f t="shared" si="60"/>
        <v>23027.272727272764</v>
      </c>
    </row>
    <row r="221" spans="1:30" ht="21" customHeight="1">
      <c r="A221" s="26">
        <f t="shared" si="50"/>
        <v>221</v>
      </c>
      <c r="B221" s="41">
        <v>5</v>
      </c>
      <c r="C221" s="42">
        <v>19</v>
      </c>
      <c r="D221" s="10" t="s">
        <v>37</v>
      </c>
      <c r="E221" s="9" t="s">
        <v>479</v>
      </c>
      <c r="F221" s="10">
        <v>1</v>
      </c>
      <c r="G221" s="11">
        <f t="shared" si="51"/>
        <v>27500</v>
      </c>
      <c r="H221" s="31"/>
      <c r="I221" s="18"/>
      <c r="J221" s="95">
        <v>45856</v>
      </c>
      <c r="K221" s="90"/>
      <c r="L221" s="12">
        <v>45805</v>
      </c>
      <c r="M221" s="12">
        <v>45805</v>
      </c>
      <c r="N221" s="1" t="s">
        <v>42</v>
      </c>
      <c r="O221" s="1"/>
      <c r="P221" s="1"/>
      <c r="Q221" s="10">
        <v>25000</v>
      </c>
      <c r="R221" s="13">
        <f t="shared" si="52"/>
        <v>25000</v>
      </c>
      <c r="S221" s="1">
        <f t="shared" si="53"/>
        <v>2500</v>
      </c>
      <c r="T221" s="1">
        <v>0</v>
      </c>
      <c r="U221" s="1">
        <f t="shared" si="61"/>
        <v>0</v>
      </c>
      <c r="V221" s="10" t="s">
        <v>41</v>
      </c>
      <c r="W221" s="1" t="s">
        <v>242</v>
      </c>
      <c r="X221" s="14">
        <f t="shared" si="55"/>
        <v>27500</v>
      </c>
      <c r="Y221" s="14">
        <f t="shared" si="56"/>
        <v>25000</v>
      </c>
      <c r="Z221" s="2">
        <f t="shared" si="65"/>
        <v>0.90909090909090906</v>
      </c>
      <c r="AA221" s="19">
        <v>0</v>
      </c>
      <c r="AB221" s="1">
        <f t="shared" si="58"/>
        <v>-24999.999999999996</v>
      </c>
      <c r="AC221" s="22">
        <f t="shared" si="59"/>
        <v>1</v>
      </c>
      <c r="AD221" s="23">
        <f t="shared" si="60"/>
        <v>2500.0000000000036</v>
      </c>
    </row>
    <row r="222" spans="1:30" ht="21" customHeight="1">
      <c r="A222" s="26">
        <f t="shared" si="50"/>
        <v>222</v>
      </c>
      <c r="B222" s="41">
        <v>5</v>
      </c>
      <c r="C222" s="42">
        <v>19</v>
      </c>
      <c r="D222" s="1" t="s">
        <v>37</v>
      </c>
      <c r="E222" s="9" t="s">
        <v>480</v>
      </c>
      <c r="F222" s="10">
        <v>200</v>
      </c>
      <c r="G222" s="11">
        <f t="shared" si="51"/>
        <v>8954000</v>
      </c>
      <c r="H222" s="31"/>
      <c r="I222" s="18"/>
      <c r="J222" s="95">
        <v>45867</v>
      </c>
      <c r="K222" s="90"/>
      <c r="L222" s="12">
        <v>45798</v>
      </c>
      <c r="M222" s="12">
        <v>45793</v>
      </c>
      <c r="N222" s="1" t="s">
        <v>134</v>
      </c>
      <c r="O222" s="1" t="s">
        <v>481</v>
      </c>
      <c r="P222" s="1"/>
      <c r="Q222" s="10">
        <v>40700</v>
      </c>
      <c r="R222" s="13">
        <f t="shared" si="52"/>
        <v>8140000</v>
      </c>
      <c r="S222" s="1">
        <f t="shared" si="53"/>
        <v>814000</v>
      </c>
      <c r="T222" s="1">
        <v>0</v>
      </c>
      <c r="U222" s="1">
        <f t="shared" si="61"/>
        <v>0</v>
      </c>
      <c r="V222" s="10" t="s">
        <v>135</v>
      </c>
      <c r="W222" s="1" t="s">
        <v>358</v>
      </c>
      <c r="X222" s="14">
        <f t="shared" si="55"/>
        <v>2454000</v>
      </c>
      <c r="Y222" s="14">
        <f t="shared" si="56"/>
        <v>1640000</v>
      </c>
      <c r="Z222" s="2">
        <f t="shared" si="65"/>
        <v>0.18315836497654681</v>
      </c>
      <c r="AA222" s="19">
        <v>6500000</v>
      </c>
      <c r="AB222" s="1">
        <f t="shared" si="58"/>
        <v>-2230909.0909090908</v>
      </c>
      <c r="AC222" s="22">
        <f t="shared" si="59"/>
        <v>0.27406745588563775</v>
      </c>
      <c r="AD222" s="23">
        <f t="shared" si="60"/>
        <v>223090.90909090918</v>
      </c>
    </row>
    <row r="223" spans="1:30" ht="21" customHeight="1">
      <c r="A223" s="26">
        <f t="shared" si="50"/>
        <v>223</v>
      </c>
      <c r="B223" s="41">
        <v>5</v>
      </c>
      <c r="C223" s="42">
        <v>19</v>
      </c>
      <c r="D223" s="1" t="s">
        <v>37</v>
      </c>
      <c r="E223" s="9" t="s">
        <v>482</v>
      </c>
      <c r="F223" s="10">
        <v>1</v>
      </c>
      <c r="G223" s="11">
        <f t="shared" si="51"/>
        <v>16500</v>
      </c>
      <c r="H223" s="31"/>
      <c r="I223" s="18"/>
      <c r="J223" s="95">
        <v>45798</v>
      </c>
      <c r="K223" s="90"/>
      <c r="L223" s="12">
        <v>45805</v>
      </c>
      <c r="M223" s="12">
        <v>45796</v>
      </c>
      <c r="N223" s="1" t="s">
        <v>38</v>
      </c>
      <c r="O223" s="1" t="s">
        <v>39</v>
      </c>
      <c r="P223" s="1" t="s">
        <v>83</v>
      </c>
      <c r="Q223" s="10">
        <v>15000</v>
      </c>
      <c r="R223" s="13">
        <f t="shared" si="52"/>
        <v>15000</v>
      </c>
      <c r="S223" s="1">
        <f t="shared" si="53"/>
        <v>1500</v>
      </c>
      <c r="T223" s="1">
        <v>0</v>
      </c>
      <c r="U223" s="1">
        <f t="shared" si="61"/>
        <v>0</v>
      </c>
      <c r="V223" s="10" t="s">
        <v>41</v>
      </c>
      <c r="W223" s="1" t="s">
        <v>244</v>
      </c>
      <c r="X223" s="14">
        <f t="shared" si="55"/>
        <v>16500</v>
      </c>
      <c r="Y223" s="14">
        <f t="shared" si="56"/>
        <v>15000</v>
      </c>
      <c r="Z223" s="2">
        <f t="shared" si="65"/>
        <v>0.90909090909090906</v>
      </c>
      <c r="AA223" s="19">
        <v>0</v>
      </c>
      <c r="AB223" s="1">
        <f t="shared" si="58"/>
        <v>-14999.999999999998</v>
      </c>
      <c r="AC223" s="22">
        <f t="shared" si="59"/>
        <v>1</v>
      </c>
      <c r="AD223" s="23">
        <f t="shared" si="60"/>
        <v>1500.0000000000018</v>
      </c>
    </row>
    <row r="224" spans="1:30" ht="21" customHeight="1">
      <c r="A224" s="26">
        <f t="shared" si="50"/>
        <v>224</v>
      </c>
      <c r="B224" s="41">
        <v>5</v>
      </c>
      <c r="C224" s="42">
        <v>19</v>
      </c>
      <c r="D224" s="1" t="s">
        <v>37</v>
      </c>
      <c r="E224" s="9" t="s">
        <v>482</v>
      </c>
      <c r="F224" s="10">
        <v>2</v>
      </c>
      <c r="G224" s="11">
        <f t="shared" si="51"/>
        <v>44000</v>
      </c>
      <c r="H224" s="31"/>
      <c r="I224" s="18"/>
      <c r="J224" s="95">
        <v>45798</v>
      </c>
      <c r="K224" s="90"/>
      <c r="L224" s="12">
        <v>45805</v>
      </c>
      <c r="M224" s="12">
        <v>45796</v>
      </c>
      <c r="N224" s="1" t="s">
        <v>79</v>
      </c>
      <c r="O224" s="1" t="s">
        <v>483</v>
      </c>
      <c r="P224" s="1" t="s">
        <v>81</v>
      </c>
      <c r="Q224" s="10">
        <v>20000</v>
      </c>
      <c r="R224" s="13">
        <f t="shared" si="52"/>
        <v>40000</v>
      </c>
      <c r="S224" s="1">
        <f t="shared" si="53"/>
        <v>4000</v>
      </c>
      <c r="T224" s="1">
        <v>0</v>
      </c>
      <c r="U224" s="1">
        <f t="shared" si="61"/>
        <v>0</v>
      </c>
      <c r="V224" s="10" t="s">
        <v>41</v>
      </c>
      <c r="W224" s="1" t="s">
        <v>244</v>
      </c>
      <c r="X224" s="14">
        <f t="shared" si="55"/>
        <v>44000</v>
      </c>
      <c r="Y224" s="14">
        <f t="shared" si="56"/>
        <v>40000</v>
      </c>
      <c r="Z224" s="2">
        <f t="shared" si="65"/>
        <v>0.90909090909090906</v>
      </c>
      <c r="AA224" s="19">
        <v>0</v>
      </c>
      <c r="AB224" s="1">
        <f t="shared" si="58"/>
        <v>-40000</v>
      </c>
      <c r="AC224" s="22">
        <f t="shared" si="59"/>
        <v>1</v>
      </c>
      <c r="AD224" s="23">
        <f t="shared" si="60"/>
        <v>4000</v>
      </c>
    </row>
    <row r="225" spans="1:30" ht="21" customHeight="1">
      <c r="A225" s="26">
        <f t="shared" si="50"/>
        <v>225</v>
      </c>
      <c r="B225" s="41">
        <v>5</v>
      </c>
      <c r="C225" s="42">
        <v>21</v>
      </c>
      <c r="D225" s="1" t="s">
        <v>47</v>
      </c>
      <c r="E225" s="9" t="s">
        <v>473</v>
      </c>
      <c r="F225" s="10">
        <v>2</v>
      </c>
      <c r="G225" s="11">
        <f t="shared" si="51"/>
        <v>52800</v>
      </c>
      <c r="H225" s="31"/>
      <c r="I225" s="18"/>
      <c r="J225" s="95">
        <v>45805</v>
      </c>
      <c r="K225" s="90"/>
      <c r="L225" s="12">
        <v>45798</v>
      </c>
      <c r="M225" s="12">
        <v>45798</v>
      </c>
      <c r="N225" s="1" t="s">
        <v>148</v>
      </c>
      <c r="O225" s="1"/>
      <c r="P225" s="1" t="s">
        <v>94</v>
      </c>
      <c r="Q225" s="10">
        <v>24000</v>
      </c>
      <c r="R225" s="13">
        <f t="shared" si="52"/>
        <v>48000</v>
      </c>
      <c r="S225" s="1">
        <f t="shared" si="53"/>
        <v>4800</v>
      </c>
      <c r="T225" s="1">
        <v>0</v>
      </c>
      <c r="U225" s="1">
        <f t="shared" si="61"/>
        <v>0</v>
      </c>
      <c r="V225" s="10" t="s">
        <v>41</v>
      </c>
      <c r="W225" s="1" t="s">
        <v>474</v>
      </c>
      <c r="X225" s="14">
        <f t="shared" si="55"/>
        <v>52800</v>
      </c>
      <c r="Y225" s="14">
        <f t="shared" si="56"/>
        <v>48000</v>
      </c>
      <c r="Z225" s="2">
        <f t="shared" si="65"/>
        <v>0.90909090909090906</v>
      </c>
      <c r="AA225" s="19">
        <v>0</v>
      </c>
      <c r="AB225" s="1">
        <f t="shared" si="58"/>
        <v>-47999.999999999993</v>
      </c>
      <c r="AC225" s="22">
        <f t="shared" si="59"/>
        <v>1</v>
      </c>
      <c r="AD225" s="23">
        <f t="shared" si="60"/>
        <v>4800.0000000000073</v>
      </c>
    </row>
    <row r="226" spans="1:30" ht="21" customHeight="1">
      <c r="A226" s="26">
        <f t="shared" si="50"/>
        <v>226</v>
      </c>
      <c r="B226" s="41">
        <v>5</v>
      </c>
      <c r="C226" s="42">
        <v>21</v>
      </c>
      <c r="D226" s="1" t="s">
        <v>37</v>
      </c>
      <c r="E226" s="9" t="s">
        <v>484</v>
      </c>
      <c r="F226" s="10">
        <v>3</v>
      </c>
      <c r="G226" s="11">
        <f t="shared" si="51"/>
        <v>253000</v>
      </c>
      <c r="H226" s="31"/>
      <c r="I226" s="18"/>
      <c r="J226" s="95">
        <v>45798</v>
      </c>
      <c r="K226" s="90"/>
      <c r="L226" s="12">
        <v>45805</v>
      </c>
      <c r="M226" s="12">
        <v>45797</v>
      </c>
      <c r="N226" s="1" t="s">
        <v>38</v>
      </c>
      <c r="O226" s="1"/>
      <c r="P226" s="1" t="s">
        <v>485</v>
      </c>
      <c r="Q226" s="10">
        <v>70000</v>
      </c>
      <c r="R226" s="13">
        <f t="shared" si="52"/>
        <v>210000</v>
      </c>
      <c r="S226" s="1">
        <f t="shared" si="53"/>
        <v>21000</v>
      </c>
      <c r="T226" s="1">
        <v>20000</v>
      </c>
      <c r="U226" s="1">
        <f t="shared" si="61"/>
        <v>2000</v>
      </c>
      <c r="V226" s="10" t="s">
        <v>41</v>
      </c>
      <c r="W226" s="1" t="s">
        <v>486</v>
      </c>
      <c r="X226" s="14">
        <f t="shared" si="55"/>
        <v>253000</v>
      </c>
      <c r="Y226" s="14">
        <f t="shared" si="56"/>
        <v>232000</v>
      </c>
      <c r="Z226" s="2">
        <f t="shared" si="65"/>
        <v>0.91699604743083007</v>
      </c>
      <c r="AA226" s="19">
        <v>0</v>
      </c>
      <c r="AB226" s="1">
        <f t="shared" si="58"/>
        <v>-229999.99999999997</v>
      </c>
      <c r="AC226" s="22">
        <f t="shared" si="59"/>
        <v>1</v>
      </c>
      <c r="AD226" s="23">
        <f t="shared" si="60"/>
        <v>23000.000000000029</v>
      </c>
    </row>
    <row r="227" spans="1:30" ht="21" customHeight="1">
      <c r="A227" s="26">
        <f t="shared" si="50"/>
        <v>227</v>
      </c>
      <c r="B227" s="41">
        <v>5</v>
      </c>
      <c r="C227" s="42">
        <v>21</v>
      </c>
      <c r="D227" s="1" t="s">
        <v>70</v>
      </c>
      <c r="E227" s="9" t="s">
        <v>487</v>
      </c>
      <c r="F227" s="10">
        <v>1</v>
      </c>
      <c r="G227" s="11">
        <f t="shared" si="51"/>
        <v>20900</v>
      </c>
      <c r="H227" s="31"/>
      <c r="I227" s="12">
        <v>45813</v>
      </c>
      <c r="J227" s="96"/>
      <c r="K227" s="90"/>
      <c r="L227" s="12">
        <v>45805</v>
      </c>
      <c r="M227" s="12">
        <v>45798</v>
      </c>
      <c r="N227" s="1" t="s">
        <v>38</v>
      </c>
      <c r="O227" s="1" t="s">
        <v>39</v>
      </c>
      <c r="P227" s="1" t="s">
        <v>488</v>
      </c>
      <c r="Q227" s="10">
        <v>19000</v>
      </c>
      <c r="R227" s="13">
        <f t="shared" si="52"/>
        <v>19000</v>
      </c>
      <c r="S227" s="1">
        <f t="shared" si="53"/>
        <v>1900</v>
      </c>
      <c r="T227" s="1">
        <v>0</v>
      </c>
      <c r="U227" s="1">
        <f t="shared" si="61"/>
        <v>0</v>
      </c>
      <c r="V227" s="10" t="s">
        <v>41</v>
      </c>
      <c r="W227" s="1" t="s">
        <v>71</v>
      </c>
      <c r="X227" s="14">
        <f t="shared" si="55"/>
        <v>3520</v>
      </c>
      <c r="Y227" s="14">
        <f t="shared" si="56"/>
        <v>1620</v>
      </c>
      <c r="Z227" s="2">
        <f t="shared" si="65"/>
        <v>7.7511961722488032E-2</v>
      </c>
      <c r="AA227" s="19">
        <v>17380</v>
      </c>
      <c r="AB227" s="1">
        <f t="shared" si="58"/>
        <v>-3200.0000000000018</v>
      </c>
      <c r="AC227" s="22">
        <f t="shared" si="59"/>
        <v>0.16842105263157905</v>
      </c>
      <c r="AD227" s="23">
        <f t="shared" si="60"/>
        <v>319.99999999999818</v>
      </c>
    </row>
    <row r="228" spans="1:30" ht="21" customHeight="1">
      <c r="A228" s="26">
        <f t="shared" si="50"/>
        <v>228</v>
      </c>
      <c r="B228" s="41">
        <v>5</v>
      </c>
      <c r="C228" s="42">
        <v>23</v>
      </c>
      <c r="D228" s="1" t="s">
        <v>37</v>
      </c>
      <c r="E228" s="9" t="s">
        <v>411</v>
      </c>
      <c r="F228" s="10">
        <v>500</v>
      </c>
      <c r="G228" s="11">
        <f t="shared" si="51"/>
        <v>148500</v>
      </c>
      <c r="H228" s="31"/>
      <c r="I228" s="18"/>
      <c r="J228" s="95">
        <v>45807</v>
      </c>
      <c r="K228" s="90"/>
      <c r="L228" s="12">
        <v>45805</v>
      </c>
      <c r="M228" s="12">
        <v>45800</v>
      </c>
      <c r="N228" s="1"/>
      <c r="O228" s="1"/>
      <c r="P228" s="1" t="s">
        <v>412</v>
      </c>
      <c r="Q228" s="10">
        <v>270</v>
      </c>
      <c r="R228" s="13">
        <f t="shared" si="52"/>
        <v>135000</v>
      </c>
      <c r="S228" s="1">
        <f t="shared" si="53"/>
        <v>13500</v>
      </c>
      <c r="T228" s="1">
        <v>0</v>
      </c>
      <c r="U228" s="1">
        <f t="shared" si="61"/>
        <v>0</v>
      </c>
      <c r="V228" s="10" t="s">
        <v>36</v>
      </c>
      <c r="W228" s="1" t="s">
        <v>410</v>
      </c>
      <c r="X228" s="14">
        <f t="shared" si="55"/>
        <v>63990</v>
      </c>
      <c r="Y228" s="14">
        <f t="shared" si="56"/>
        <v>50490</v>
      </c>
      <c r="Z228" s="2">
        <f t="shared" si="65"/>
        <v>0.34</v>
      </c>
      <c r="AA228" s="19">
        <v>84510</v>
      </c>
      <c r="AB228" s="1">
        <f t="shared" si="58"/>
        <v>-58172.727272727279</v>
      </c>
      <c r="AC228" s="20">
        <f t="shared" si="59"/>
        <v>0.43090909090909096</v>
      </c>
      <c r="AD228" s="21">
        <f t="shared" si="60"/>
        <v>5817.2727272727207</v>
      </c>
    </row>
    <row r="229" spans="1:30" ht="21" customHeight="1">
      <c r="A229" s="26">
        <f t="shared" si="50"/>
        <v>229</v>
      </c>
      <c r="B229" s="41">
        <v>5</v>
      </c>
      <c r="C229" s="42">
        <v>23</v>
      </c>
      <c r="D229" s="1" t="s">
        <v>37</v>
      </c>
      <c r="E229" s="9" t="s">
        <v>489</v>
      </c>
      <c r="F229" s="10">
        <v>1</v>
      </c>
      <c r="G229" s="11">
        <f t="shared" si="51"/>
        <v>20900</v>
      </c>
      <c r="H229" s="31"/>
      <c r="I229" s="18"/>
      <c r="J229" s="95">
        <v>45818</v>
      </c>
      <c r="K229" s="90"/>
      <c r="L229" s="12">
        <v>45805</v>
      </c>
      <c r="M229" s="12">
        <v>45805</v>
      </c>
      <c r="N229" s="1"/>
      <c r="O229" s="1"/>
      <c r="P229" s="1" t="s">
        <v>63</v>
      </c>
      <c r="Q229" s="10">
        <v>19000</v>
      </c>
      <c r="R229" s="13">
        <f t="shared" si="52"/>
        <v>19000</v>
      </c>
      <c r="S229" s="1">
        <f t="shared" si="53"/>
        <v>1900</v>
      </c>
      <c r="T229" s="1">
        <v>0</v>
      </c>
      <c r="U229" s="1">
        <f t="shared" si="61"/>
        <v>0</v>
      </c>
      <c r="V229" s="10" t="s">
        <v>490</v>
      </c>
      <c r="W229" s="1" t="s">
        <v>104</v>
      </c>
      <c r="X229" s="14">
        <f t="shared" si="55"/>
        <v>12100</v>
      </c>
      <c r="Y229" s="14">
        <f t="shared" si="56"/>
        <v>10200</v>
      </c>
      <c r="Z229" s="2">
        <f t="shared" si="65"/>
        <v>0.48803827751196172</v>
      </c>
      <c r="AA229" s="19">
        <v>8800</v>
      </c>
      <c r="AB229" s="1">
        <f t="shared" si="58"/>
        <v>-11000</v>
      </c>
      <c r="AC229" s="20">
        <f t="shared" si="59"/>
        <v>0.57894736842105265</v>
      </c>
      <c r="AD229" s="21">
        <f t="shared" si="60"/>
        <v>1099.9999999999991</v>
      </c>
    </row>
    <row r="230" spans="1:30" ht="21" customHeight="1">
      <c r="A230" s="26">
        <f t="shared" si="50"/>
        <v>230</v>
      </c>
      <c r="B230" s="41">
        <v>5</v>
      </c>
      <c r="C230" s="42">
        <v>23</v>
      </c>
      <c r="D230" s="1" t="s">
        <v>85</v>
      </c>
      <c r="E230" s="9" t="s">
        <v>491</v>
      </c>
      <c r="F230" s="10">
        <v>1</v>
      </c>
      <c r="G230" s="11">
        <f t="shared" si="51"/>
        <v>20900</v>
      </c>
      <c r="H230" s="31"/>
      <c r="I230" s="18"/>
      <c r="J230" s="95">
        <v>45800</v>
      </c>
      <c r="K230" s="90"/>
      <c r="L230" s="12">
        <v>45805</v>
      </c>
      <c r="M230" s="25" t="s">
        <v>57</v>
      </c>
      <c r="N230" s="1"/>
      <c r="O230" s="1"/>
      <c r="P230" s="1" t="s">
        <v>247</v>
      </c>
      <c r="Q230" s="10">
        <v>19000</v>
      </c>
      <c r="R230" s="13">
        <f t="shared" si="52"/>
        <v>19000</v>
      </c>
      <c r="S230" s="1">
        <f t="shared" si="53"/>
        <v>1900</v>
      </c>
      <c r="T230" s="1">
        <v>0</v>
      </c>
      <c r="U230" s="1">
        <f t="shared" si="61"/>
        <v>0</v>
      </c>
      <c r="V230" s="10" t="s">
        <v>490</v>
      </c>
      <c r="W230" s="1" t="s">
        <v>103</v>
      </c>
      <c r="X230" s="14">
        <f t="shared" si="55"/>
        <v>20900</v>
      </c>
      <c r="Y230" s="14">
        <f t="shared" si="56"/>
        <v>19000</v>
      </c>
      <c r="Z230" s="2">
        <f t="shared" si="65"/>
        <v>0.90909090909090906</v>
      </c>
      <c r="AA230" s="19">
        <v>0</v>
      </c>
      <c r="AB230" s="1">
        <f t="shared" si="58"/>
        <v>-19000</v>
      </c>
      <c r="AC230" s="20">
        <f t="shared" si="59"/>
        <v>1</v>
      </c>
      <c r="AD230" s="21">
        <f t="shared" si="60"/>
        <v>1900</v>
      </c>
    </row>
    <row r="231" spans="1:30" ht="21" customHeight="1">
      <c r="A231" s="26">
        <f t="shared" si="50"/>
        <v>231</v>
      </c>
      <c r="B231" s="41">
        <v>5</v>
      </c>
      <c r="C231" s="42">
        <v>23</v>
      </c>
      <c r="D231" s="1" t="s">
        <v>37</v>
      </c>
      <c r="E231" s="9" t="s">
        <v>492</v>
      </c>
      <c r="F231" s="10">
        <v>5</v>
      </c>
      <c r="G231" s="11">
        <f t="shared" si="51"/>
        <v>126500</v>
      </c>
      <c r="H231" s="31"/>
      <c r="I231" s="18"/>
      <c r="J231" s="95">
        <v>45807</v>
      </c>
      <c r="K231" s="90"/>
      <c r="L231" s="12">
        <v>45805</v>
      </c>
      <c r="M231" s="12">
        <v>45805</v>
      </c>
      <c r="N231" s="1"/>
      <c r="O231" s="1"/>
      <c r="P231" s="1" t="s">
        <v>493</v>
      </c>
      <c r="Q231" s="10">
        <v>23000</v>
      </c>
      <c r="R231" s="13">
        <f t="shared" si="52"/>
        <v>115000</v>
      </c>
      <c r="S231" s="1">
        <f t="shared" si="53"/>
        <v>11500</v>
      </c>
      <c r="T231" s="1">
        <v>0</v>
      </c>
      <c r="U231" s="1">
        <f t="shared" si="61"/>
        <v>0</v>
      </c>
      <c r="V231" s="10" t="s">
        <v>41</v>
      </c>
      <c r="W231" s="1" t="s">
        <v>410</v>
      </c>
      <c r="X231" s="14">
        <f t="shared" si="55"/>
        <v>117700</v>
      </c>
      <c r="Y231" s="14">
        <f t="shared" si="56"/>
        <v>106200</v>
      </c>
      <c r="Z231" s="2">
        <f t="shared" si="65"/>
        <v>0.83952569169960478</v>
      </c>
      <c r="AA231" s="19">
        <v>8800</v>
      </c>
      <c r="AB231" s="1">
        <f t="shared" si="58"/>
        <v>-106999.99999999999</v>
      </c>
      <c r="AC231" s="20">
        <f t="shared" si="59"/>
        <v>0.93043478260869561</v>
      </c>
      <c r="AD231" s="21">
        <f t="shared" si="60"/>
        <v>10700.000000000015</v>
      </c>
    </row>
    <row r="232" spans="1:30" ht="21" customHeight="1">
      <c r="A232" s="26">
        <f t="shared" si="50"/>
        <v>232</v>
      </c>
      <c r="B232" s="41">
        <v>5</v>
      </c>
      <c r="C232" s="42">
        <v>28</v>
      </c>
      <c r="D232" s="1" t="s">
        <v>47</v>
      </c>
      <c r="E232" s="9" t="s">
        <v>494</v>
      </c>
      <c r="F232" s="10">
        <v>21</v>
      </c>
      <c r="G232" s="11">
        <f t="shared" si="51"/>
        <v>277200</v>
      </c>
      <c r="H232" s="32"/>
      <c r="I232" s="18"/>
      <c r="J232" s="95">
        <v>45810</v>
      </c>
      <c r="K232" s="90"/>
      <c r="L232" s="12">
        <v>45805</v>
      </c>
      <c r="M232" s="12">
        <v>45805</v>
      </c>
      <c r="N232" s="1" t="s">
        <v>476</v>
      </c>
      <c r="O232" s="1" t="s">
        <v>245</v>
      </c>
      <c r="P232" s="1" t="s">
        <v>35</v>
      </c>
      <c r="Q232" s="10">
        <v>12000</v>
      </c>
      <c r="R232" s="13">
        <f t="shared" si="52"/>
        <v>252000</v>
      </c>
      <c r="S232" s="1">
        <f t="shared" si="53"/>
        <v>25200</v>
      </c>
      <c r="T232" s="1">
        <v>0</v>
      </c>
      <c r="U232" s="1">
        <f t="shared" si="61"/>
        <v>0</v>
      </c>
      <c r="V232" s="10" t="s">
        <v>41</v>
      </c>
      <c r="W232" s="1" t="s">
        <v>474</v>
      </c>
      <c r="X232" s="14">
        <f t="shared" si="55"/>
        <v>54300</v>
      </c>
      <c r="Y232" s="14">
        <f t="shared" si="56"/>
        <v>29100</v>
      </c>
      <c r="Z232" s="2">
        <f>X232/G232</f>
        <v>0.19588744588744589</v>
      </c>
      <c r="AA232" s="19">
        <v>222900</v>
      </c>
      <c r="AB232" s="1">
        <f t="shared" si="58"/>
        <v>-49363.636363636353</v>
      </c>
      <c r="AC232" s="20">
        <f t="shared" si="59"/>
        <v>0.19588744588744586</v>
      </c>
      <c r="AD232" s="21">
        <f t="shared" si="60"/>
        <v>4936.3636363636469</v>
      </c>
    </row>
    <row r="233" spans="1:30" ht="2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  <c r="AA233" s="1"/>
      <c r="AB233" s="1"/>
      <c r="AC233" s="1"/>
      <c r="AD233" s="1"/>
    </row>
    <row r="234" spans="1:30" ht="21" customHeight="1">
      <c r="A234" s="26">
        <f t="shared" ref="A234:A280" si="66">ROW()</f>
        <v>234</v>
      </c>
      <c r="B234" s="8">
        <v>6</v>
      </c>
      <c r="C234" s="36">
        <v>3</v>
      </c>
      <c r="D234" s="1" t="s">
        <v>47</v>
      </c>
      <c r="E234" s="9" t="s">
        <v>43</v>
      </c>
      <c r="F234" s="10">
        <v>1</v>
      </c>
      <c r="G234" s="11">
        <f t="shared" ref="G234:G280" si="67">R234+S234+T234+U234</f>
        <v>473000</v>
      </c>
      <c r="H234" s="31"/>
      <c r="I234" s="33"/>
      <c r="J234" s="96"/>
      <c r="K234" s="90"/>
      <c r="L234" s="12">
        <v>45811</v>
      </c>
      <c r="M234" s="12">
        <v>45811</v>
      </c>
      <c r="N234" s="1" t="s">
        <v>43</v>
      </c>
      <c r="O234" s="1" t="s">
        <v>111</v>
      </c>
      <c r="P234" s="1" t="s">
        <v>44</v>
      </c>
      <c r="Q234" s="10">
        <v>430000</v>
      </c>
      <c r="R234" s="13">
        <f t="shared" ref="R234:R280" si="68">Q234*F234</f>
        <v>430000</v>
      </c>
      <c r="S234" s="1">
        <f t="shared" ref="S234:S280" si="69">R234*0.1</f>
        <v>43000</v>
      </c>
      <c r="T234" s="1">
        <v>0</v>
      </c>
      <c r="U234" s="1">
        <f t="shared" ref="U234:U280" si="70">T234*0.1</f>
        <v>0</v>
      </c>
      <c r="V234" s="10" t="s">
        <v>46</v>
      </c>
      <c r="W234" s="1" t="s">
        <v>218</v>
      </c>
      <c r="X234" s="14">
        <f t="shared" ref="X234:X280" si="71">G234-AA234</f>
        <v>252500</v>
      </c>
      <c r="Y234" s="14">
        <f t="shared" ref="Y234:Y280" si="72">X234-S234</f>
        <v>209500</v>
      </c>
      <c r="Z234" s="2">
        <f t="shared" ref="Z234:Z249" si="73">Y234/G234</f>
        <v>0.44291754756871038</v>
      </c>
      <c r="AA234" s="19">
        <v>220500</v>
      </c>
      <c r="AB234" s="1">
        <f t="shared" ref="AB234:AB280" si="74">(AA234/1.1)-(G234/1.1)</f>
        <v>-229545.4545454545</v>
      </c>
      <c r="AC234" s="22">
        <f t="shared" ref="AC234:AC280" si="75">((G234/1.1) - (AA234/1.1)) / (G234/1.1) * 1</f>
        <v>0.53382663847780121</v>
      </c>
      <c r="AD234" s="23">
        <f t="shared" ref="AD234:AD280" si="76">(G234 - (G234 / 1.1)) - (AA234 - (AA234 / 1.1))</f>
        <v>22954.5454545455</v>
      </c>
    </row>
    <row r="235" spans="1:30" ht="21" customHeight="1">
      <c r="A235" s="26">
        <f t="shared" si="66"/>
        <v>235</v>
      </c>
      <c r="B235" s="8">
        <v>6</v>
      </c>
      <c r="C235" s="36">
        <v>3</v>
      </c>
      <c r="D235" s="1" t="s">
        <v>37</v>
      </c>
      <c r="E235" s="9" t="s">
        <v>495</v>
      </c>
      <c r="F235" s="10">
        <v>2</v>
      </c>
      <c r="G235" s="11">
        <f t="shared" si="67"/>
        <v>33000</v>
      </c>
      <c r="H235" s="31"/>
      <c r="I235" s="33"/>
      <c r="J235" s="96"/>
      <c r="K235" s="90"/>
      <c r="L235" s="12">
        <v>45811</v>
      </c>
      <c r="M235" s="25" t="s">
        <v>229</v>
      </c>
      <c r="N235" s="1" t="s">
        <v>38</v>
      </c>
      <c r="O235" s="1" t="s">
        <v>39</v>
      </c>
      <c r="P235" s="1" t="s">
        <v>496</v>
      </c>
      <c r="Q235" s="10">
        <v>15000</v>
      </c>
      <c r="R235" s="13">
        <f t="shared" si="68"/>
        <v>30000</v>
      </c>
      <c r="S235" s="1">
        <f t="shared" si="69"/>
        <v>3000</v>
      </c>
      <c r="T235" s="1">
        <v>0</v>
      </c>
      <c r="U235" s="1">
        <f t="shared" si="70"/>
        <v>0</v>
      </c>
      <c r="V235" s="10" t="s">
        <v>41</v>
      </c>
      <c r="W235" s="1" t="s">
        <v>189</v>
      </c>
      <c r="X235" s="14">
        <f t="shared" si="71"/>
        <v>33000</v>
      </c>
      <c r="Y235" s="14">
        <f t="shared" si="72"/>
        <v>30000</v>
      </c>
      <c r="Z235" s="2">
        <f t="shared" si="73"/>
        <v>0.90909090909090906</v>
      </c>
      <c r="AA235" s="19">
        <v>0</v>
      </c>
      <c r="AB235" s="1">
        <f t="shared" si="74"/>
        <v>-29999.999999999996</v>
      </c>
      <c r="AC235" s="22">
        <f t="shared" si="75"/>
        <v>1</v>
      </c>
      <c r="AD235" s="23">
        <f t="shared" si="76"/>
        <v>3000.0000000000036</v>
      </c>
    </row>
    <row r="236" spans="1:30" ht="21" customHeight="1">
      <c r="A236" s="26">
        <f t="shared" si="66"/>
        <v>236</v>
      </c>
      <c r="B236" s="8">
        <v>6</v>
      </c>
      <c r="C236" s="36">
        <v>3</v>
      </c>
      <c r="D236" s="1" t="s">
        <v>37</v>
      </c>
      <c r="E236" s="9" t="s">
        <v>497</v>
      </c>
      <c r="F236" s="10">
        <v>1</v>
      </c>
      <c r="G236" s="11">
        <f t="shared" si="67"/>
        <v>16500</v>
      </c>
      <c r="H236" s="31"/>
      <c r="I236" s="33"/>
      <c r="J236" s="96"/>
      <c r="K236" s="90"/>
      <c r="L236" s="12">
        <v>45811</v>
      </c>
      <c r="M236" s="25" t="s">
        <v>229</v>
      </c>
      <c r="N236" s="1" t="s">
        <v>38</v>
      </c>
      <c r="O236" s="1" t="s">
        <v>39</v>
      </c>
      <c r="P236" s="1" t="s">
        <v>498</v>
      </c>
      <c r="Q236" s="10">
        <v>15000</v>
      </c>
      <c r="R236" s="13">
        <f t="shared" si="68"/>
        <v>15000</v>
      </c>
      <c r="S236" s="1">
        <f t="shared" si="69"/>
        <v>1500</v>
      </c>
      <c r="T236" s="1">
        <v>0</v>
      </c>
      <c r="U236" s="1">
        <f t="shared" si="70"/>
        <v>0</v>
      </c>
      <c r="V236" s="10" t="s">
        <v>41</v>
      </c>
      <c r="W236" s="1" t="s">
        <v>189</v>
      </c>
      <c r="X236" s="14">
        <f t="shared" si="71"/>
        <v>16500</v>
      </c>
      <c r="Y236" s="14">
        <f t="shared" si="72"/>
        <v>15000</v>
      </c>
      <c r="Z236" s="2">
        <f t="shared" si="73"/>
        <v>0.90909090909090906</v>
      </c>
      <c r="AA236" s="19">
        <v>0</v>
      </c>
      <c r="AB236" s="1">
        <f t="shared" si="74"/>
        <v>-14999.999999999998</v>
      </c>
      <c r="AC236" s="22">
        <f t="shared" si="75"/>
        <v>1</v>
      </c>
      <c r="AD236" s="23">
        <f t="shared" si="76"/>
        <v>1500.0000000000018</v>
      </c>
    </row>
    <row r="237" spans="1:30" ht="21" customHeight="1">
      <c r="A237" s="26">
        <f t="shared" si="66"/>
        <v>237</v>
      </c>
      <c r="B237" s="8">
        <v>6</v>
      </c>
      <c r="C237" s="36">
        <v>3</v>
      </c>
      <c r="D237" s="1" t="s">
        <v>37</v>
      </c>
      <c r="E237" s="9" t="s">
        <v>499</v>
      </c>
      <c r="F237" s="10">
        <v>1</v>
      </c>
      <c r="G237" s="11">
        <f t="shared" si="67"/>
        <v>38500</v>
      </c>
      <c r="H237" s="31"/>
      <c r="I237" s="18"/>
      <c r="J237" s="95">
        <v>45855</v>
      </c>
      <c r="K237" s="90"/>
      <c r="L237" s="12">
        <v>45811</v>
      </c>
      <c r="M237" s="25" t="s">
        <v>229</v>
      </c>
      <c r="N237" s="1" t="s">
        <v>125</v>
      </c>
      <c r="O237" s="1"/>
      <c r="P237" s="1" t="s">
        <v>126</v>
      </c>
      <c r="Q237" s="10">
        <v>35000</v>
      </c>
      <c r="R237" s="13">
        <f t="shared" si="68"/>
        <v>35000</v>
      </c>
      <c r="S237" s="1">
        <f t="shared" si="69"/>
        <v>3500</v>
      </c>
      <c r="T237" s="1">
        <v>0</v>
      </c>
      <c r="U237" s="1">
        <f t="shared" si="70"/>
        <v>0</v>
      </c>
      <c r="V237" s="10" t="s">
        <v>41</v>
      </c>
      <c r="W237" s="1" t="s">
        <v>104</v>
      </c>
      <c r="X237" s="14">
        <f t="shared" si="71"/>
        <v>6000</v>
      </c>
      <c r="Y237" s="14">
        <f t="shared" si="72"/>
        <v>2500</v>
      </c>
      <c r="Z237" s="2">
        <f t="shared" si="73"/>
        <v>6.4935064935064929E-2</v>
      </c>
      <c r="AA237" s="19">
        <v>32500</v>
      </c>
      <c r="AB237" s="1">
        <f t="shared" si="74"/>
        <v>-5454.5454545454559</v>
      </c>
      <c r="AC237" s="22">
        <f t="shared" si="75"/>
        <v>0.15584415584415587</v>
      </c>
      <c r="AD237" s="23">
        <f t="shared" si="76"/>
        <v>545.45454545454413</v>
      </c>
    </row>
    <row r="238" spans="1:30" ht="21" customHeight="1">
      <c r="A238" s="26">
        <f t="shared" si="66"/>
        <v>238</v>
      </c>
      <c r="B238" s="8">
        <v>6</v>
      </c>
      <c r="C238" s="36">
        <v>3</v>
      </c>
      <c r="D238" s="1" t="s">
        <v>112</v>
      </c>
      <c r="E238" s="9" t="s">
        <v>500</v>
      </c>
      <c r="F238" s="10">
        <v>1</v>
      </c>
      <c r="G238" s="11">
        <f t="shared" si="67"/>
        <v>44000</v>
      </c>
      <c r="H238" s="31"/>
      <c r="I238" s="33"/>
      <c r="J238" s="96"/>
      <c r="K238" s="90"/>
      <c r="L238" s="12">
        <v>45811</v>
      </c>
      <c r="M238" s="25" t="s">
        <v>57</v>
      </c>
      <c r="N238" s="1" t="s">
        <v>200</v>
      </c>
      <c r="O238" s="1"/>
      <c r="P238" s="1" t="s">
        <v>501</v>
      </c>
      <c r="Q238" s="10">
        <v>40000</v>
      </c>
      <c r="R238" s="13">
        <f t="shared" si="68"/>
        <v>40000</v>
      </c>
      <c r="S238" s="1">
        <f t="shared" si="69"/>
        <v>4000</v>
      </c>
      <c r="T238" s="1">
        <v>0</v>
      </c>
      <c r="U238" s="1">
        <f t="shared" si="70"/>
        <v>0</v>
      </c>
      <c r="V238" s="10" t="s">
        <v>36</v>
      </c>
      <c r="W238" s="1" t="s">
        <v>502</v>
      </c>
      <c r="X238" s="14">
        <f t="shared" si="71"/>
        <v>21450</v>
      </c>
      <c r="Y238" s="14">
        <f t="shared" si="72"/>
        <v>17450</v>
      </c>
      <c r="Z238" s="2">
        <f t="shared" si="73"/>
        <v>0.39659090909090911</v>
      </c>
      <c r="AA238" s="19">
        <v>22550</v>
      </c>
      <c r="AB238" s="1">
        <f t="shared" si="74"/>
        <v>-19500</v>
      </c>
      <c r="AC238" s="22">
        <f t="shared" si="75"/>
        <v>0.48749999999999999</v>
      </c>
      <c r="AD238" s="23">
        <f t="shared" si="76"/>
        <v>1950</v>
      </c>
    </row>
    <row r="239" spans="1:30" ht="21" customHeight="1">
      <c r="A239" s="26">
        <f t="shared" si="66"/>
        <v>239</v>
      </c>
      <c r="B239" s="8">
        <v>6</v>
      </c>
      <c r="C239" s="36">
        <v>3</v>
      </c>
      <c r="D239" s="1" t="s">
        <v>112</v>
      </c>
      <c r="E239" s="9" t="s">
        <v>503</v>
      </c>
      <c r="F239" s="10">
        <v>1</v>
      </c>
      <c r="G239" s="11">
        <f t="shared" si="67"/>
        <v>49500</v>
      </c>
      <c r="H239" s="31"/>
      <c r="I239" s="33"/>
      <c r="J239" s="96"/>
      <c r="K239" s="90"/>
      <c r="L239" s="12">
        <v>45811</v>
      </c>
      <c r="M239" s="25" t="s">
        <v>57</v>
      </c>
      <c r="N239" s="1" t="s">
        <v>504</v>
      </c>
      <c r="O239" s="1"/>
      <c r="P239" s="1" t="s">
        <v>209</v>
      </c>
      <c r="Q239" s="10">
        <v>45000</v>
      </c>
      <c r="R239" s="13">
        <f t="shared" si="68"/>
        <v>45000</v>
      </c>
      <c r="S239" s="1">
        <f t="shared" si="69"/>
        <v>4500</v>
      </c>
      <c r="T239" s="1">
        <v>0</v>
      </c>
      <c r="U239" s="1">
        <f t="shared" si="70"/>
        <v>0</v>
      </c>
      <c r="V239" s="10" t="s">
        <v>36</v>
      </c>
      <c r="W239" s="1" t="s">
        <v>502</v>
      </c>
      <c r="X239" s="14">
        <f t="shared" si="71"/>
        <v>49500</v>
      </c>
      <c r="Y239" s="14">
        <f t="shared" si="72"/>
        <v>45000</v>
      </c>
      <c r="Z239" s="2">
        <f t="shared" si="73"/>
        <v>0.90909090909090906</v>
      </c>
      <c r="AA239" s="19">
        <v>0</v>
      </c>
      <c r="AB239" s="1">
        <f t="shared" si="74"/>
        <v>-45000</v>
      </c>
      <c r="AC239" s="22">
        <f t="shared" si="75"/>
        <v>1</v>
      </c>
      <c r="AD239" s="23">
        <f t="shared" si="76"/>
        <v>4500</v>
      </c>
    </row>
    <row r="240" spans="1:30" ht="21" customHeight="1">
      <c r="A240" s="26">
        <f t="shared" si="66"/>
        <v>240</v>
      </c>
      <c r="B240" s="8">
        <v>6</v>
      </c>
      <c r="C240" s="36">
        <v>3</v>
      </c>
      <c r="D240" s="1" t="s">
        <v>37</v>
      </c>
      <c r="E240" s="9" t="s">
        <v>505</v>
      </c>
      <c r="F240" s="10">
        <v>3</v>
      </c>
      <c r="G240" s="11">
        <f t="shared" si="67"/>
        <v>56100</v>
      </c>
      <c r="H240" s="31"/>
      <c r="I240" s="18"/>
      <c r="J240" s="95">
        <v>45821</v>
      </c>
      <c r="K240" s="90"/>
      <c r="L240" s="12">
        <v>45826</v>
      </c>
      <c r="M240" s="12">
        <v>45810</v>
      </c>
      <c r="N240" s="1" t="s">
        <v>45</v>
      </c>
      <c r="O240" s="1" t="s">
        <v>506</v>
      </c>
      <c r="P240" s="1" t="s">
        <v>35</v>
      </c>
      <c r="Q240" s="10">
        <v>17000</v>
      </c>
      <c r="R240" s="13">
        <f t="shared" si="68"/>
        <v>51000</v>
      </c>
      <c r="S240" s="1">
        <f t="shared" si="69"/>
        <v>5100</v>
      </c>
      <c r="T240" s="1">
        <v>0</v>
      </c>
      <c r="U240" s="1">
        <f t="shared" si="70"/>
        <v>0</v>
      </c>
      <c r="V240" s="10" t="s">
        <v>36</v>
      </c>
      <c r="W240" s="1" t="s">
        <v>358</v>
      </c>
      <c r="X240" s="14">
        <f t="shared" si="71"/>
        <v>28850</v>
      </c>
      <c r="Y240" s="14">
        <f t="shared" si="72"/>
        <v>23750</v>
      </c>
      <c r="Z240" s="2">
        <f t="shared" si="73"/>
        <v>0.42335115864527628</v>
      </c>
      <c r="AA240" s="19">
        <v>27250</v>
      </c>
      <c r="AB240" s="1">
        <f t="shared" si="74"/>
        <v>-26227.272727272721</v>
      </c>
      <c r="AC240" s="22">
        <f t="shared" si="75"/>
        <v>0.51426024955436711</v>
      </c>
      <c r="AD240" s="23">
        <f t="shared" si="76"/>
        <v>2622.7272727272793</v>
      </c>
    </row>
    <row r="241" spans="1:30" ht="21" customHeight="1">
      <c r="A241" s="26">
        <f t="shared" si="66"/>
        <v>241</v>
      </c>
      <c r="B241" s="8">
        <v>6</v>
      </c>
      <c r="C241" s="36">
        <v>3</v>
      </c>
      <c r="D241" s="1" t="s">
        <v>37</v>
      </c>
      <c r="E241" s="9" t="s">
        <v>505</v>
      </c>
      <c r="F241" s="10">
        <v>3</v>
      </c>
      <c r="G241" s="11">
        <f t="shared" si="67"/>
        <v>26400</v>
      </c>
      <c r="H241" s="31"/>
      <c r="I241" s="18"/>
      <c r="J241" s="95">
        <v>45821</v>
      </c>
      <c r="K241" s="90"/>
      <c r="L241" s="12">
        <v>45826</v>
      </c>
      <c r="M241" s="12">
        <v>45810</v>
      </c>
      <c r="N241" s="1" t="s">
        <v>48</v>
      </c>
      <c r="O241" s="1"/>
      <c r="P241" s="1" t="s">
        <v>49</v>
      </c>
      <c r="Q241" s="10">
        <v>8000</v>
      </c>
      <c r="R241" s="13">
        <f t="shared" si="68"/>
        <v>24000</v>
      </c>
      <c r="S241" s="1">
        <f t="shared" si="69"/>
        <v>2400</v>
      </c>
      <c r="T241" s="1">
        <v>0</v>
      </c>
      <c r="U241" s="1">
        <f t="shared" si="70"/>
        <v>0</v>
      </c>
      <c r="V241" s="10" t="s">
        <v>50</v>
      </c>
      <c r="W241" s="1" t="s">
        <v>358</v>
      </c>
      <c r="X241" s="14">
        <f t="shared" si="71"/>
        <v>26400</v>
      </c>
      <c r="Y241" s="14">
        <f t="shared" si="72"/>
        <v>24000</v>
      </c>
      <c r="Z241" s="2">
        <f t="shared" si="73"/>
        <v>0.90909090909090906</v>
      </c>
      <c r="AA241" s="19">
        <v>0</v>
      </c>
      <c r="AB241" s="1">
        <f t="shared" si="74"/>
        <v>-23999.999999999996</v>
      </c>
      <c r="AC241" s="22">
        <f t="shared" si="75"/>
        <v>1</v>
      </c>
      <c r="AD241" s="23">
        <f t="shared" si="76"/>
        <v>2400.0000000000036</v>
      </c>
    </row>
    <row r="242" spans="1:30" ht="21" customHeight="1">
      <c r="A242" s="26">
        <f t="shared" si="66"/>
        <v>242</v>
      </c>
      <c r="B242" s="8">
        <v>6</v>
      </c>
      <c r="C242" s="36">
        <v>3</v>
      </c>
      <c r="D242" s="1" t="s">
        <v>37</v>
      </c>
      <c r="E242" s="9" t="s">
        <v>507</v>
      </c>
      <c r="F242" s="10">
        <v>1</v>
      </c>
      <c r="G242" s="11">
        <f t="shared" si="67"/>
        <v>20900</v>
      </c>
      <c r="H242" s="31"/>
      <c r="I242" s="18"/>
      <c r="J242" s="95">
        <v>45832</v>
      </c>
      <c r="K242" s="90"/>
      <c r="L242" s="12">
        <v>45811</v>
      </c>
      <c r="M242" s="25" t="s">
        <v>229</v>
      </c>
      <c r="N242" s="1" t="s">
        <v>38</v>
      </c>
      <c r="O242" s="1" t="s">
        <v>39</v>
      </c>
      <c r="P242" s="1" t="s">
        <v>64</v>
      </c>
      <c r="Q242" s="10">
        <v>19000</v>
      </c>
      <c r="R242" s="13">
        <f t="shared" si="68"/>
        <v>19000</v>
      </c>
      <c r="S242" s="1">
        <f t="shared" si="69"/>
        <v>1900</v>
      </c>
      <c r="T242" s="1">
        <v>0</v>
      </c>
      <c r="U242" s="1">
        <f t="shared" si="70"/>
        <v>0</v>
      </c>
      <c r="V242" s="10" t="s">
        <v>41</v>
      </c>
      <c r="W242" s="1" t="s">
        <v>114</v>
      </c>
      <c r="X242" s="14">
        <f t="shared" si="71"/>
        <v>20900</v>
      </c>
      <c r="Y242" s="14">
        <f t="shared" si="72"/>
        <v>19000</v>
      </c>
      <c r="Z242" s="2">
        <f t="shared" si="73"/>
        <v>0.90909090909090906</v>
      </c>
      <c r="AA242" s="19">
        <v>0</v>
      </c>
      <c r="AB242" s="1">
        <f t="shared" si="74"/>
        <v>-19000</v>
      </c>
      <c r="AC242" s="20">
        <f t="shared" si="75"/>
        <v>1</v>
      </c>
      <c r="AD242" s="21">
        <f t="shared" si="76"/>
        <v>1900</v>
      </c>
    </row>
    <row r="243" spans="1:30" ht="21" customHeight="1">
      <c r="A243" s="26">
        <f t="shared" si="66"/>
        <v>243</v>
      </c>
      <c r="B243" s="8">
        <v>6</v>
      </c>
      <c r="C243" s="36">
        <v>3</v>
      </c>
      <c r="D243" s="1" t="s">
        <v>37</v>
      </c>
      <c r="E243" s="9" t="s">
        <v>508</v>
      </c>
      <c r="F243" s="10">
        <v>1</v>
      </c>
      <c r="G243" s="11">
        <f t="shared" si="67"/>
        <v>27500</v>
      </c>
      <c r="H243" s="31"/>
      <c r="I243" s="18"/>
      <c r="J243" s="95">
        <v>45832</v>
      </c>
      <c r="K243" s="90"/>
      <c r="L243" s="12">
        <v>45811</v>
      </c>
      <c r="M243" s="25" t="s">
        <v>229</v>
      </c>
      <c r="N243" s="1" t="s">
        <v>42</v>
      </c>
      <c r="O243" s="1" t="s">
        <v>158</v>
      </c>
      <c r="P243" s="1" t="s">
        <v>72</v>
      </c>
      <c r="Q243" s="10">
        <v>25000</v>
      </c>
      <c r="R243" s="13">
        <f t="shared" si="68"/>
        <v>25000</v>
      </c>
      <c r="S243" s="1">
        <f t="shared" si="69"/>
        <v>2500</v>
      </c>
      <c r="T243" s="1">
        <v>0</v>
      </c>
      <c r="U243" s="1">
        <f t="shared" si="70"/>
        <v>0</v>
      </c>
      <c r="V243" s="10" t="s">
        <v>41</v>
      </c>
      <c r="W243" s="1" t="s">
        <v>114</v>
      </c>
      <c r="X243" s="14">
        <f t="shared" si="71"/>
        <v>27500</v>
      </c>
      <c r="Y243" s="14">
        <f t="shared" si="72"/>
        <v>25000</v>
      </c>
      <c r="Z243" s="2">
        <f t="shared" si="73"/>
        <v>0.90909090909090906</v>
      </c>
      <c r="AA243" s="19">
        <v>0</v>
      </c>
      <c r="AB243" s="1">
        <f t="shared" si="74"/>
        <v>-24999.999999999996</v>
      </c>
      <c r="AC243" s="20">
        <f t="shared" si="75"/>
        <v>1</v>
      </c>
      <c r="AD243" s="21">
        <f t="shared" si="76"/>
        <v>2500.0000000000036</v>
      </c>
    </row>
    <row r="244" spans="1:30" ht="21" customHeight="1">
      <c r="A244" s="26">
        <f t="shared" si="66"/>
        <v>244</v>
      </c>
      <c r="B244" s="8">
        <v>6</v>
      </c>
      <c r="C244" s="36">
        <v>3</v>
      </c>
      <c r="D244" s="1" t="s">
        <v>70</v>
      </c>
      <c r="E244" s="9" t="s">
        <v>509</v>
      </c>
      <c r="F244" s="10">
        <v>6</v>
      </c>
      <c r="G244" s="11">
        <f t="shared" si="67"/>
        <v>132000</v>
      </c>
      <c r="H244" s="31"/>
      <c r="I244" s="18"/>
      <c r="J244" s="95">
        <v>45825</v>
      </c>
      <c r="K244" s="90"/>
      <c r="L244" s="12">
        <v>45811</v>
      </c>
      <c r="M244" s="12">
        <v>45811</v>
      </c>
      <c r="N244" s="1" t="s">
        <v>79</v>
      </c>
      <c r="O244" s="1" t="s">
        <v>143</v>
      </c>
      <c r="P244" s="1" t="s">
        <v>81</v>
      </c>
      <c r="Q244" s="10">
        <v>20000</v>
      </c>
      <c r="R244" s="13">
        <f t="shared" si="68"/>
        <v>120000</v>
      </c>
      <c r="S244" s="1">
        <f t="shared" si="69"/>
        <v>12000</v>
      </c>
      <c r="T244" s="1">
        <v>0</v>
      </c>
      <c r="U244" s="1">
        <f t="shared" si="70"/>
        <v>0</v>
      </c>
      <c r="V244" s="10" t="s">
        <v>41</v>
      </c>
      <c r="W244" s="1" t="s">
        <v>71</v>
      </c>
      <c r="X244" s="14">
        <f t="shared" si="71"/>
        <v>132000</v>
      </c>
      <c r="Y244" s="14">
        <f t="shared" si="72"/>
        <v>120000</v>
      </c>
      <c r="Z244" s="2">
        <f t="shared" si="73"/>
        <v>0.90909090909090906</v>
      </c>
      <c r="AA244" s="19">
        <v>0</v>
      </c>
      <c r="AB244" s="1">
        <f t="shared" si="74"/>
        <v>-119999.99999999999</v>
      </c>
      <c r="AC244" s="22">
        <f t="shared" si="75"/>
        <v>1</v>
      </c>
      <c r="AD244" s="23">
        <f t="shared" si="76"/>
        <v>12000.000000000015</v>
      </c>
    </row>
    <row r="245" spans="1:30" ht="21" customHeight="1">
      <c r="A245" s="26">
        <f t="shared" si="66"/>
        <v>245</v>
      </c>
      <c r="B245" s="8">
        <v>6</v>
      </c>
      <c r="C245" s="36">
        <v>3</v>
      </c>
      <c r="D245" s="1" t="s">
        <v>70</v>
      </c>
      <c r="E245" s="9" t="s">
        <v>509</v>
      </c>
      <c r="F245" s="10">
        <v>2</v>
      </c>
      <c r="G245" s="11">
        <f t="shared" si="67"/>
        <v>88000</v>
      </c>
      <c r="H245" s="31"/>
      <c r="I245" s="18"/>
      <c r="J245" s="95">
        <v>45825</v>
      </c>
      <c r="K245" s="90"/>
      <c r="L245" s="12">
        <v>45811</v>
      </c>
      <c r="M245" s="12">
        <v>45811</v>
      </c>
      <c r="N245" s="1" t="s">
        <v>38</v>
      </c>
      <c r="O245" s="1" t="s">
        <v>143</v>
      </c>
      <c r="P245" s="1" t="s">
        <v>510</v>
      </c>
      <c r="Q245" s="10">
        <v>40000</v>
      </c>
      <c r="R245" s="13">
        <f t="shared" si="68"/>
        <v>80000</v>
      </c>
      <c r="S245" s="1">
        <f t="shared" si="69"/>
        <v>8000</v>
      </c>
      <c r="T245" s="1">
        <v>0</v>
      </c>
      <c r="U245" s="1">
        <f t="shared" si="70"/>
        <v>0</v>
      </c>
      <c r="V245" s="10" t="s">
        <v>41</v>
      </c>
      <c r="W245" s="1" t="s">
        <v>71</v>
      </c>
      <c r="X245" s="14">
        <f t="shared" si="71"/>
        <v>88000</v>
      </c>
      <c r="Y245" s="14">
        <f t="shared" si="72"/>
        <v>80000</v>
      </c>
      <c r="Z245" s="2">
        <f t="shared" si="73"/>
        <v>0.90909090909090906</v>
      </c>
      <c r="AA245" s="19">
        <v>0</v>
      </c>
      <c r="AB245" s="1">
        <f t="shared" si="74"/>
        <v>-80000</v>
      </c>
      <c r="AC245" s="22">
        <f t="shared" si="75"/>
        <v>1</v>
      </c>
      <c r="AD245" s="23">
        <f t="shared" si="76"/>
        <v>8000</v>
      </c>
    </row>
    <row r="246" spans="1:30" ht="21" customHeight="1">
      <c r="A246" s="26">
        <f t="shared" si="66"/>
        <v>246</v>
      </c>
      <c r="B246" s="8">
        <v>6</v>
      </c>
      <c r="C246" s="36">
        <v>3</v>
      </c>
      <c r="D246" s="1" t="s">
        <v>225</v>
      </c>
      <c r="E246" s="9" t="s">
        <v>511</v>
      </c>
      <c r="F246" s="10">
        <v>1</v>
      </c>
      <c r="G246" s="11">
        <f t="shared" si="67"/>
        <v>20900</v>
      </c>
      <c r="H246" s="31"/>
      <c r="I246" s="18"/>
      <c r="J246" s="95">
        <v>45848</v>
      </c>
      <c r="K246" s="90"/>
      <c r="L246" s="12">
        <v>45819</v>
      </c>
      <c r="M246" s="25" t="s">
        <v>57</v>
      </c>
      <c r="N246" s="1" t="s">
        <v>38</v>
      </c>
      <c r="O246" s="1" t="s">
        <v>39</v>
      </c>
      <c r="P246" s="1" t="s">
        <v>83</v>
      </c>
      <c r="Q246" s="10">
        <v>19000</v>
      </c>
      <c r="R246" s="13">
        <f t="shared" si="68"/>
        <v>19000</v>
      </c>
      <c r="S246" s="1">
        <f t="shared" si="69"/>
        <v>1900</v>
      </c>
      <c r="T246" s="1">
        <v>0</v>
      </c>
      <c r="U246" s="1">
        <f t="shared" si="70"/>
        <v>0</v>
      </c>
      <c r="V246" s="10" t="s">
        <v>41</v>
      </c>
      <c r="W246" s="1" t="s">
        <v>512</v>
      </c>
      <c r="X246" s="14">
        <f t="shared" si="71"/>
        <v>20900</v>
      </c>
      <c r="Y246" s="14">
        <f t="shared" si="72"/>
        <v>19000</v>
      </c>
      <c r="Z246" s="2">
        <f t="shared" si="73"/>
        <v>0.90909090909090906</v>
      </c>
      <c r="AA246" s="19">
        <v>0</v>
      </c>
      <c r="AB246" s="1">
        <f t="shared" si="74"/>
        <v>-19000</v>
      </c>
      <c r="AC246" s="22">
        <f t="shared" si="75"/>
        <v>1</v>
      </c>
      <c r="AD246" s="23">
        <f t="shared" si="76"/>
        <v>1900</v>
      </c>
    </row>
    <row r="247" spans="1:30" ht="21" customHeight="1">
      <c r="A247" s="26">
        <f t="shared" si="66"/>
        <v>247</v>
      </c>
      <c r="B247" s="8">
        <v>6</v>
      </c>
      <c r="C247" s="36">
        <v>3</v>
      </c>
      <c r="D247" s="1" t="s">
        <v>87</v>
      </c>
      <c r="E247" s="9" t="s">
        <v>513</v>
      </c>
      <c r="F247" s="10">
        <v>1</v>
      </c>
      <c r="G247" s="11">
        <f t="shared" si="67"/>
        <v>39600</v>
      </c>
      <c r="H247" s="31"/>
      <c r="I247" s="33"/>
      <c r="J247" s="96"/>
      <c r="K247" s="90"/>
      <c r="L247" s="12">
        <v>45811</v>
      </c>
      <c r="M247" s="25" t="s">
        <v>57</v>
      </c>
      <c r="N247" s="1" t="s">
        <v>38</v>
      </c>
      <c r="O247" s="1" t="s">
        <v>39</v>
      </c>
      <c r="P247" s="1" t="s">
        <v>176</v>
      </c>
      <c r="Q247" s="10">
        <v>36000</v>
      </c>
      <c r="R247" s="13">
        <f t="shared" si="68"/>
        <v>36000</v>
      </c>
      <c r="S247" s="1">
        <f t="shared" si="69"/>
        <v>3600</v>
      </c>
      <c r="T247" s="1">
        <v>0</v>
      </c>
      <c r="U247" s="1">
        <f t="shared" si="70"/>
        <v>0</v>
      </c>
      <c r="V247" s="10" t="s">
        <v>41</v>
      </c>
      <c r="W247" s="1" t="s">
        <v>514</v>
      </c>
      <c r="X247" s="14">
        <f t="shared" si="71"/>
        <v>39600</v>
      </c>
      <c r="Y247" s="14">
        <f t="shared" si="72"/>
        <v>36000</v>
      </c>
      <c r="Z247" s="2">
        <f t="shared" si="73"/>
        <v>0.90909090909090906</v>
      </c>
      <c r="AA247" s="19">
        <v>0</v>
      </c>
      <c r="AB247" s="1">
        <f t="shared" si="74"/>
        <v>-36000</v>
      </c>
      <c r="AC247" s="22">
        <f t="shared" si="75"/>
        <v>1</v>
      </c>
      <c r="AD247" s="23">
        <f t="shared" si="76"/>
        <v>3600</v>
      </c>
    </row>
    <row r="248" spans="1:30" ht="21" customHeight="1">
      <c r="A248" s="26">
        <f t="shared" si="66"/>
        <v>248</v>
      </c>
      <c r="B248" s="8">
        <v>6</v>
      </c>
      <c r="C248" s="36">
        <v>3</v>
      </c>
      <c r="D248" s="1" t="s">
        <v>37</v>
      </c>
      <c r="E248" s="9" t="s">
        <v>515</v>
      </c>
      <c r="F248" s="10">
        <v>1</v>
      </c>
      <c r="G248" s="11">
        <f t="shared" si="67"/>
        <v>22000</v>
      </c>
      <c r="H248" s="31"/>
      <c r="I248" s="33"/>
      <c r="J248" s="96"/>
      <c r="K248" s="90"/>
      <c r="L248" s="12">
        <v>45797</v>
      </c>
      <c r="M248" s="25" t="s">
        <v>229</v>
      </c>
      <c r="N248" s="1" t="s">
        <v>79</v>
      </c>
      <c r="O248" s="1" t="s">
        <v>483</v>
      </c>
      <c r="P248" s="1" t="s">
        <v>81</v>
      </c>
      <c r="Q248" s="10">
        <v>20000</v>
      </c>
      <c r="R248" s="13">
        <f t="shared" si="68"/>
        <v>20000</v>
      </c>
      <c r="S248" s="1">
        <f t="shared" si="69"/>
        <v>2000</v>
      </c>
      <c r="T248" s="1">
        <v>0</v>
      </c>
      <c r="U248" s="1">
        <f t="shared" si="70"/>
        <v>0</v>
      </c>
      <c r="V248" s="10" t="s">
        <v>41</v>
      </c>
      <c r="W248" s="1" t="s">
        <v>244</v>
      </c>
      <c r="X248" s="14">
        <f t="shared" si="71"/>
        <v>22000</v>
      </c>
      <c r="Y248" s="14">
        <f t="shared" si="72"/>
        <v>20000</v>
      </c>
      <c r="Z248" s="2">
        <f t="shared" si="73"/>
        <v>0.90909090909090906</v>
      </c>
      <c r="AA248" s="19">
        <v>0</v>
      </c>
      <c r="AB248" s="1">
        <f t="shared" si="74"/>
        <v>-20000</v>
      </c>
      <c r="AC248" s="22">
        <f t="shared" si="75"/>
        <v>1</v>
      </c>
      <c r="AD248" s="23">
        <f t="shared" si="76"/>
        <v>2000</v>
      </c>
    </row>
    <row r="249" spans="1:30" ht="21" customHeight="1">
      <c r="A249" s="26">
        <f t="shared" si="66"/>
        <v>249</v>
      </c>
      <c r="B249" s="8">
        <v>6</v>
      </c>
      <c r="C249" s="36">
        <v>9</v>
      </c>
      <c r="D249" s="1" t="s">
        <v>516</v>
      </c>
      <c r="E249" s="9" t="s">
        <v>517</v>
      </c>
      <c r="F249" s="10">
        <v>1</v>
      </c>
      <c r="G249" s="11">
        <f t="shared" si="67"/>
        <v>28600</v>
      </c>
      <c r="H249" s="31"/>
      <c r="I249" s="33"/>
      <c r="J249" s="96"/>
      <c r="K249" s="90"/>
      <c r="L249" s="12">
        <v>45819</v>
      </c>
      <c r="M249" s="25" t="s">
        <v>57</v>
      </c>
      <c r="N249" s="1" t="s">
        <v>38</v>
      </c>
      <c r="O249" s="1" t="s">
        <v>39</v>
      </c>
      <c r="P249" s="1" t="s">
        <v>518</v>
      </c>
      <c r="Q249" s="10">
        <v>26000</v>
      </c>
      <c r="R249" s="13">
        <f t="shared" si="68"/>
        <v>26000</v>
      </c>
      <c r="S249" s="1">
        <f t="shared" si="69"/>
        <v>2600</v>
      </c>
      <c r="T249" s="1">
        <v>0</v>
      </c>
      <c r="U249" s="1">
        <f t="shared" si="70"/>
        <v>0</v>
      </c>
      <c r="V249" s="10" t="s">
        <v>41</v>
      </c>
      <c r="W249" s="1" t="s">
        <v>516</v>
      </c>
      <c r="X249" s="14">
        <f t="shared" si="71"/>
        <v>28600</v>
      </c>
      <c r="Y249" s="14">
        <f t="shared" si="72"/>
        <v>26000</v>
      </c>
      <c r="Z249" s="2">
        <f t="shared" si="73"/>
        <v>0.90909090909090906</v>
      </c>
      <c r="AA249" s="19">
        <v>0</v>
      </c>
      <c r="AB249" s="1">
        <f t="shared" si="74"/>
        <v>-25999.999999999996</v>
      </c>
      <c r="AC249" s="22">
        <f t="shared" si="75"/>
        <v>1</v>
      </c>
      <c r="AD249" s="23">
        <f t="shared" si="76"/>
        <v>2600.0000000000036</v>
      </c>
    </row>
    <row r="250" spans="1:30" ht="21" customHeight="1">
      <c r="A250" s="26">
        <f t="shared" si="66"/>
        <v>250</v>
      </c>
      <c r="B250" s="8">
        <v>6</v>
      </c>
      <c r="C250" s="36">
        <v>9</v>
      </c>
      <c r="D250" s="1" t="s">
        <v>47</v>
      </c>
      <c r="E250" s="9" t="s">
        <v>519</v>
      </c>
      <c r="F250" s="10">
        <v>1</v>
      </c>
      <c r="G250" s="11">
        <f t="shared" si="67"/>
        <v>13200</v>
      </c>
      <c r="H250" s="32"/>
      <c r="I250" s="33"/>
      <c r="J250" s="96"/>
      <c r="K250" s="90"/>
      <c r="L250" s="12">
        <v>45825</v>
      </c>
      <c r="M250" s="12">
        <v>45825</v>
      </c>
      <c r="N250" s="1" t="s">
        <v>476</v>
      </c>
      <c r="O250" s="1" t="s">
        <v>520</v>
      </c>
      <c r="P250" s="1" t="s">
        <v>35</v>
      </c>
      <c r="Q250" s="10">
        <v>12000</v>
      </c>
      <c r="R250" s="13">
        <f t="shared" si="68"/>
        <v>12000</v>
      </c>
      <c r="S250" s="1">
        <f t="shared" si="69"/>
        <v>1200</v>
      </c>
      <c r="T250" s="1">
        <v>0</v>
      </c>
      <c r="U250" s="1">
        <f t="shared" si="70"/>
        <v>0</v>
      </c>
      <c r="V250" s="10" t="s">
        <v>41</v>
      </c>
      <c r="W250" s="1" t="s">
        <v>474</v>
      </c>
      <c r="X250" s="14">
        <f t="shared" si="71"/>
        <v>800</v>
      </c>
      <c r="Y250" s="14">
        <f t="shared" si="72"/>
        <v>-400</v>
      </c>
      <c r="Z250" s="2">
        <f t="shared" ref="Z250:Z253" si="77">X250/G250</f>
        <v>6.0606060606060608E-2</v>
      </c>
      <c r="AA250" s="19">
        <v>12400</v>
      </c>
      <c r="AB250" s="1">
        <f t="shared" si="74"/>
        <v>-727.27272727272612</v>
      </c>
      <c r="AC250" s="20">
        <f t="shared" si="75"/>
        <v>6.0606060606060518E-2</v>
      </c>
      <c r="AD250" s="21">
        <f t="shared" si="76"/>
        <v>72.727272727273885</v>
      </c>
    </row>
    <row r="251" spans="1:30" ht="21" customHeight="1">
      <c r="A251" s="26">
        <f t="shared" si="66"/>
        <v>251</v>
      </c>
      <c r="B251" s="8">
        <v>6</v>
      </c>
      <c r="C251" s="36">
        <v>11</v>
      </c>
      <c r="D251" s="1" t="s">
        <v>47</v>
      </c>
      <c r="E251" s="9" t="s">
        <v>521</v>
      </c>
      <c r="F251" s="10">
        <v>1</v>
      </c>
      <c r="G251" s="11">
        <f t="shared" si="67"/>
        <v>15400</v>
      </c>
      <c r="H251" s="32"/>
      <c r="I251" s="33"/>
      <c r="J251" s="96"/>
      <c r="K251" s="90"/>
      <c r="L251" s="12">
        <v>45819</v>
      </c>
      <c r="M251" s="12">
        <v>45819</v>
      </c>
      <c r="N251" s="1" t="s">
        <v>54</v>
      </c>
      <c r="O251" s="1"/>
      <c r="P251" s="1" t="s">
        <v>49</v>
      </c>
      <c r="Q251" s="10">
        <v>14000</v>
      </c>
      <c r="R251" s="13">
        <f t="shared" si="68"/>
        <v>14000</v>
      </c>
      <c r="S251" s="1">
        <f t="shared" si="69"/>
        <v>1400</v>
      </c>
      <c r="T251" s="1">
        <v>0</v>
      </c>
      <c r="U251" s="1">
        <f t="shared" si="70"/>
        <v>0</v>
      </c>
      <c r="V251" s="10" t="s">
        <v>41</v>
      </c>
      <c r="W251" s="1" t="s">
        <v>138</v>
      </c>
      <c r="X251" s="14">
        <f t="shared" si="71"/>
        <v>3000</v>
      </c>
      <c r="Y251" s="14">
        <f t="shared" si="72"/>
        <v>1600</v>
      </c>
      <c r="Z251" s="2">
        <f t="shared" si="77"/>
        <v>0.19480519480519481</v>
      </c>
      <c r="AA251" s="19">
        <v>12400</v>
      </c>
      <c r="AB251" s="1">
        <f t="shared" si="74"/>
        <v>-2727.2727272727261</v>
      </c>
      <c r="AC251" s="20">
        <f t="shared" si="75"/>
        <v>0.19480519480519476</v>
      </c>
      <c r="AD251" s="21">
        <f t="shared" si="76"/>
        <v>272.72727272727388</v>
      </c>
    </row>
    <row r="252" spans="1:30" ht="21" customHeight="1">
      <c r="A252" s="26">
        <f t="shared" si="66"/>
        <v>252</v>
      </c>
      <c r="B252" s="8">
        <v>6</v>
      </c>
      <c r="C252" s="36">
        <v>11</v>
      </c>
      <c r="D252" s="1" t="s">
        <v>70</v>
      </c>
      <c r="E252" s="9" t="s">
        <v>522</v>
      </c>
      <c r="F252" s="10">
        <v>1</v>
      </c>
      <c r="G252" s="11">
        <f t="shared" si="67"/>
        <v>20900</v>
      </c>
      <c r="H252" s="32"/>
      <c r="I252" s="12">
        <v>45839</v>
      </c>
      <c r="J252" s="96"/>
      <c r="K252" s="90"/>
      <c r="L252" s="12">
        <v>45826</v>
      </c>
      <c r="M252" s="12">
        <v>45819</v>
      </c>
      <c r="N252" s="1" t="s">
        <v>38</v>
      </c>
      <c r="O252" s="1"/>
      <c r="P252" s="1" t="s">
        <v>239</v>
      </c>
      <c r="Q252" s="10">
        <v>19000</v>
      </c>
      <c r="R252" s="13">
        <f t="shared" si="68"/>
        <v>19000</v>
      </c>
      <c r="S252" s="1">
        <f t="shared" si="69"/>
        <v>1900</v>
      </c>
      <c r="T252" s="1">
        <v>0</v>
      </c>
      <c r="U252" s="1">
        <f t="shared" si="70"/>
        <v>0</v>
      </c>
      <c r="V252" s="10" t="s">
        <v>41</v>
      </c>
      <c r="W252" s="1" t="s">
        <v>71</v>
      </c>
      <c r="X252" s="14">
        <f t="shared" si="71"/>
        <v>8500</v>
      </c>
      <c r="Y252" s="14">
        <f t="shared" si="72"/>
        <v>6600</v>
      </c>
      <c r="Z252" s="2">
        <f t="shared" si="77"/>
        <v>0.40669856459330145</v>
      </c>
      <c r="AA252" s="19">
        <v>12400</v>
      </c>
      <c r="AB252" s="1">
        <f t="shared" si="74"/>
        <v>-7727.2727272727279</v>
      </c>
      <c r="AC252" s="20">
        <f t="shared" si="75"/>
        <v>0.40669856459330145</v>
      </c>
      <c r="AD252" s="21">
        <f t="shared" si="76"/>
        <v>772.72727272727207</v>
      </c>
    </row>
    <row r="253" spans="1:30" ht="21" customHeight="1">
      <c r="A253" s="26">
        <f t="shared" si="66"/>
        <v>253</v>
      </c>
      <c r="B253" s="8">
        <v>6</v>
      </c>
      <c r="C253" s="36">
        <v>11</v>
      </c>
      <c r="D253" s="1" t="s">
        <v>70</v>
      </c>
      <c r="E253" s="9" t="s">
        <v>522</v>
      </c>
      <c r="F253" s="10">
        <v>2</v>
      </c>
      <c r="G253" s="11">
        <f t="shared" si="67"/>
        <v>44000</v>
      </c>
      <c r="H253" s="32"/>
      <c r="I253" s="12">
        <v>45839</v>
      </c>
      <c r="J253" s="96"/>
      <c r="K253" s="90"/>
      <c r="L253" s="12">
        <v>45826</v>
      </c>
      <c r="M253" s="12">
        <v>45819</v>
      </c>
      <c r="N253" s="1" t="s">
        <v>79</v>
      </c>
      <c r="O253" s="1"/>
      <c r="P253" s="1" t="s">
        <v>81</v>
      </c>
      <c r="Q253" s="10">
        <v>20000</v>
      </c>
      <c r="R253" s="13">
        <f t="shared" si="68"/>
        <v>40000</v>
      </c>
      <c r="S253" s="1">
        <f t="shared" si="69"/>
        <v>4000</v>
      </c>
      <c r="T253" s="1">
        <v>0</v>
      </c>
      <c r="U253" s="1">
        <f t="shared" si="70"/>
        <v>0</v>
      </c>
      <c r="V253" s="10" t="s">
        <v>41</v>
      </c>
      <c r="W253" s="1" t="s">
        <v>71</v>
      </c>
      <c r="X253" s="14">
        <f t="shared" si="71"/>
        <v>31600</v>
      </c>
      <c r="Y253" s="14">
        <f t="shared" si="72"/>
        <v>27600</v>
      </c>
      <c r="Z253" s="2">
        <f t="shared" si="77"/>
        <v>0.71818181818181814</v>
      </c>
      <c r="AA253" s="19">
        <v>12400</v>
      </c>
      <c r="AB253" s="1">
        <f t="shared" si="74"/>
        <v>-28727.272727272728</v>
      </c>
      <c r="AC253" s="20">
        <f t="shared" si="75"/>
        <v>0.71818181818181814</v>
      </c>
      <c r="AD253" s="21">
        <f t="shared" si="76"/>
        <v>2872.7272727272721</v>
      </c>
    </row>
    <row r="254" spans="1:30" ht="21" customHeight="1">
      <c r="A254" s="26">
        <f t="shared" si="66"/>
        <v>254</v>
      </c>
      <c r="B254" s="8">
        <v>6</v>
      </c>
      <c r="C254" s="36">
        <v>11</v>
      </c>
      <c r="D254" s="1" t="s">
        <v>47</v>
      </c>
      <c r="E254" s="9" t="s">
        <v>473</v>
      </c>
      <c r="F254" s="10">
        <v>4</v>
      </c>
      <c r="G254" s="11">
        <f t="shared" si="67"/>
        <v>105600</v>
      </c>
      <c r="H254" s="31"/>
      <c r="I254" s="33"/>
      <c r="J254" s="96"/>
      <c r="K254" s="90"/>
      <c r="L254" s="12">
        <v>45826</v>
      </c>
      <c r="M254" s="25" t="s">
        <v>229</v>
      </c>
      <c r="N254" s="1" t="s">
        <v>148</v>
      </c>
      <c r="O254" s="1"/>
      <c r="P254" s="1" t="s">
        <v>94</v>
      </c>
      <c r="Q254" s="10">
        <v>24000</v>
      </c>
      <c r="R254" s="13">
        <f t="shared" si="68"/>
        <v>96000</v>
      </c>
      <c r="S254" s="1">
        <f t="shared" si="69"/>
        <v>9600</v>
      </c>
      <c r="T254" s="1">
        <v>0</v>
      </c>
      <c r="U254" s="1">
        <f t="shared" si="70"/>
        <v>0</v>
      </c>
      <c r="V254" s="10" t="s">
        <v>41</v>
      </c>
      <c r="W254" s="1" t="s">
        <v>523</v>
      </c>
      <c r="X254" s="14">
        <f t="shared" si="71"/>
        <v>105600</v>
      </c>
      <c r="Y254" s="14">
        <f t="shared" si="72"/>
        <v>96000</v>
      </c>
      <c r="Z254" s="2">
        <f t="shared" ref="Z254:Z280" si="78">Y254/G254</f>
        <v>0.90909090909090906</v>
      </c>
      <c r="AA254" s="19">
        <v>0</v>
      </c>
      <c r="AB254" s="1">
        <f t="shared" si="74"/>
        <v>-95999.999999999985</v>
      </c>
      <c r="AC254" s="22">
        <f t="shared" si="75"/>
        <v>1</v>
      </c>
      <c r="AD254" s="23">
        <f t="shared" si="76"/>
        <v>9600.0000000000146</v>
      </c>
    </row>
    <row r="255" spans="1:30" ht="21" customHeight="1">
      <c r="A255" s="26">
        <f t="shared" si="66"/>
        <v>255</v>
      </c>
      <c r="B255" s="8">
        <v>6</v>
      </c>
      <c r="C255" s="36">
        <v>11</v>
      </c>
      <c r="D255" s="1" t="s">
        <v>47</v>
      </c>
      <c r="E255" s="9" t="s">
        <v>524</v>
      </c>
      <c r="F255" s="10">
        <v>33</v>
      </c>
      <c r="G255" s="11">
        <f t="shared" si="67"/>
        <v>508200</v>
      </c>
      <c r="H255" s="31"/>
      <c r="I255" s="33"/>
      <c r="J255" s="96"/>
      <c r="K255" s="90"/>
      <c r="L255" s="12">
        <v>45825</v>
      </c>
      <c r="M255" s="12">
        <v>45825</v>
      </c>
      <c r="N255" s="1" t="s">
        <v>525</v>
      </c>
      <c r="O255" s="1" t="s">
        <v>526</v>
      </c>
      <c r="P255" s="1" t="s">
        <v>49</v>
      </c>
      <c r="Q255" s="10">
        <v>14000</v>
      </c>
      <c r="R255" s="13">
        <f t="shared" si="68"/>
        <v>462000</v>
      </c>
      <c r="S255" s="1">
        <f t="shared" si="69"/>
        <v>46200</v>
      </c>
      <c r="T255" s="1">
        <v>0</v>
      </c>
      <c r="U255" s="1">
        <f t="shared" si="70"/>
        <v>0</v>
      </c>
      <c r="V255" s="10" t="s">
        <v>41</v>
      </c>
      <c r="W255" s="1" t="s">
        <v>474</v>
      </c>
      <c r="X255" s="14">
        <f t="shared" si="71"/>
        <v>508200</v>
      </c>
      <c r="Y255" s="14">
        <f t="shared" si="72"/>
        <v>462000</v>
      </c>
      <c r="Z255" s="2">
        <f t="shared" si="78"/>
        <v>0.90909090909090906</v>
      </c>
      <c r="AA255" s="19">
        <v>0</v>
      </c>
      <c r="AB255" s="1">
        <f t="shared" si="74"/>
        <v>-461999.99999999994</v>
      </c>
      <c r="AC255" s="22">
        <f t="shared" si="75"/>
        <v>1</v>
      </c>
      <c r="AD255" s="23">
        <f t="shared" si="76"/>
        <v>46200.000000000058</v>
      </c>
    </row>
    <row r="256" spans="1:30" ht="21" customHeight="1">
      <c r="A256" s="26">
        <f t="shared" si="66"/>
        <v>256</v>
      </c>
      <c r="B256" s="8">
        <v>6</v>
      </c>
      <c r="C256" s="36">
        <v>11</v>
      </c>
      <c r="D256" s="10" t="s">
        <v>37</v>
      </c>
      <c r="E256" s="24" t="s">
        <v>527</v>
      </c>
      <c r="F256" s="10">
        <v>20</v>
      </c>
      <c r="G256" s="11">
        <f t="shared" si="67"/>
        <v>242000</v>
      </c>
      <c r="H256" s="31"/>
      <c r="I256" s="18"/>
      <c r="J256" s="95">
        <v>45833</v>
      </c>
      <c r="K256" s="90"/>
      <c r="L256" s="12">
        <v>45826</v>
      </c>
      <c r="M256" s="12">
        <v>45824</v>
      </c>
      <c r="N256" s="1" t="s">
        <v>231</v>
      </c>
      <c r="O256" s="1" t="s">
        <v>232</v>
      </c>
      <c r="P256" s="1" t="s">
        <v>233</v>
      </c>
      <c r="Q256" s="10">
        <v>11000</v>
      </c>
      <c r="R256" s="13">
        <f t="shared" si="68"/>
        <v>220000</v>
      </c>
      <c r="S256" s="1">
        <f t="shared" si="69"/>
        <v>22000</v>
      </c>
      <c r="T256" s="1">
        <v>0</v>
      </c>
      <c r="U256" s="1">
        <f t="shared" si="70"/>
        <v>0</v>
      </c>
      <c r="V256" s="10" t="s">
        <v>234</v>
      </c>
      <c r="W256" s="1" t="s">
        <v>358</v>
      </c>
      <c r="X256" s="14">
        <f t="shared" si="71"/>
        <v>73700</v>
      </c>
      <c r="Y256" s="14">
        <f t="shared" si="72"/>
        <v>51700</v>
      </c>
      <c r="Z256" s="2">
        <f t="shared" si="78"/>
        <v>0.21363636363636362</v>
      </c>
      <c r="AA256" s="19">
        <v>168300</v>
      </c>
      <c r="AB256" s="1">
        <f t="shared" si="74"/>
        <v>-66999.999999999971</v>
      </c>
      <c r="AC256" s="20">
        <f t="shared" si="75"/>
        <v>0.30454545454545445</v>
      </c>
      <c r="AD256" s="21">
        <f t="shared" si="76"/>
        <v>6700.0000000000291</v>
      </c>
    </row>
    <row r="257" spans="1:30" ht="21" customHeight="1">
      <c r="A257" s="26">
        <f t="shared" si="66"/>
        <v>257</v>
      </c>
      <c r="B257" s="8">
        <v>6</v>
      </c>
      <c r="C257" s="36">
        <v>11</v>
      </c>
      <c r="D257" s="10" t="s">
        <v>112</v>
      </c>
      <c r="E257" s="24" t="s">
        <v>528</v>
      </c>
      <c r="F257" s="10">
        <v>2</v>
      </c>
      <c r="G257" s="11">
        <f t="shared" si="67"/>
        <v>28600</v>
      </c>
      <c r="H257" s="31"/>
      <c r="I257" s="33"/>
      <c r="J257" s="96"/>
      <c r="K257" s="90"/>
      <c r="L257" s="12">
        <v>45826</v>
      </c>
      <c r="M257" s="25" t="s">
        <v>57</v>
      </c>
      <c r="N257" s="1" t="s">
        <v>45</v>
      </c>
      <c r="O257" s="1"/>
      <c r="P257" s="1" t="s">
        <v>35</v>
      </c>
      <c r="Q257" s="10">
        <v>13000</v>
      </c>
      <c r="R257" s="13">
        <f t="shared" si="68"/>
        <v>26000</v>
      </c>
      <c r="S257" s="1">
        <f t="shared" si="69"/>
        <v>2600</v>
      </c>
      <c r="T257" s="1">
        <v>0</v>
      </c>
      <c r="U257" s="1">
        <f t="shared" si="70"/>
        <v>0</v>
      </c>
      <c r="V257" s="10" t="s">
        <v>197</v>
      </c>
      <c r="W257" s="1" t="s">
        <v>216</v>
      </c>
      <c r="X257" s="14">
        <f t="shared" si="71"/>
        <v>28600</v>
      </c>
      <c r="Y257" s="14">
        <f t="shared" si="72"/>
        <v>26000</v>
      </c>
      <c r="Z257" s="2">
        <f t="shared" si="78"/>
        <v>0.90909090909090906</v>
      </c>
      <c r="AA257" s="19">
        <v>0</v>
      </c>
      <c r="AB257" s="1">
        <f t="shared" si="74"/>
        <v>-25999.999999999996</v>
      </c>
      <c r="AC257" s="20">
        <f t="shared" si="75"/>
        <v>1</v>
      </c>
      <c r="AD257" s="21">
        <f t="shared" si="76"/>
        <v>2600.0000000000036</v>
      </c>
    </row>
    <row r="258" spans="1:30" ht="21" customHeight="1">
      <c r="A258" s="26">
        <f t="shared" si="66"/>
        <v>258</v>
      </c>
      <c r="B258" s="8">
        <v>6</v>
      </c>
      <c r="C258" s="36">
        <v>18</v>
      </c>
      <c r="D258" s="10" t="s">
        <v>37</v>
      </c>
      <c r="E258" s="9" t="s">
        <v>529</v>
      </c>
      <c r="F258" s="10">
        <v>3</v>
      </c>
      <c r="G258" s="11">
        <f t="shared" si="67"/>
        <v>115500</v>
      </c>
      <c r="H258" s="31"/>
      <c r="I258" s="18"/>
      <c r="J258" s="95">
        <v>45833</v>
      </c>
      <c r="K258" s="90"/>
      <c r="L258" s="12">
        <v>45826</v>
      </c>
      <c r="M258" s="12">
        <v>45826</v>
      </c>
      <c r="N258" s="1" t="s">
        <v>125</v>
      </c>
      <c r="O258" s="1"/>
      <c r="P258" s="1" t="s">
        <v>126</v>
      </c>
      <c r="Q258" s="10">
        <v>35000</v>
      </c>
      <c r="R258" s="13">
        <f t="shared" si="68"/>
        <v>105000</v>
      </c>
      <c r="S258" s="1">
        <f t="shared" si="69"/>
        <v>10500</v>
      </c>
      <c r="T258" s="1">
        <v>0</v>
      </c>
      <c r="U258" s="1">
        <f t="shared" si="70"/>
        <v>0</v>
      </c>
      <c r="V258" s="10" t="s">
        <v>41</v>
      </c>
      <c r="W258" s="1" t="s">
        <v>410</v>
      </c>
      <c r="X258" s="14">
        <f t="shared" si="71"/>
        <v>115500</v>
      </c>
      <c r="Y258" s="14">
        <f t="shared" si="72"/>
        <v>105000</v>
      </c>
      <c r="Z258" s="2">
        <f t="shared" si="78"/>
        <v>0.90909090909090906</v>
      </c>
      <c r="AA258" s="19">
        <v>0</v>
      </c>
      <c r="AB258" s="1">
        <f t="shared" si="74"/>
        <v>-104999.99999999999</v>
      </c>
      <c r="AC258" s="22">
        <f t="shared" si="75"/>
        <v>1</v>
      </c>
      <c r="AD258" s="23">
        <f t="shared" si="76"/>
        <v>10500.000000000015</v>
      </c>
    </row>
    <row r="259" spans="1:30" ht="21" customHeight="1">
      <c r="A259" s="26">
        <f t="shared" si="66"/>
        <v>259</v>
      </c>
      <c r="B259" s="8">
        <v>6</v>
      </c>
      <c r="C259" s="36">
        <v>18</v>
      </c>
      <c r="D259" s="10" t="s">
        <v>37</v>
      </c>
      <c r="E259" s="1" t="s">
        <v>530</v>
      </c>
      <c r="F259" s="10">
        <v>5</v>
      </c>
      <c r="G259" s="11">
        <f t="shared" si="67"/>
        <v>44000</v>
      </c>
      <c r="H259" s="31"/>
      <c r="I259" s="18"/>
      <c r="J259" s="95">
        <v>45833</v>
      </c>
      <c r="K259" s="90"/>
      <c r="L259" s="12">
        <v>45826</v>
      </c>
      <c r="M259" s="12">
        <v>45826</v>
      </c>
      <c r="N259" s="1" t="s">
        <v>48</v>
      </c>
      <c r="O259" s="1"/>
      <c r="P259" s="1" t="s">
        <v>49</v>
      </c>
      <c r="Q259" s="10">
        <v>8000</v>
      </c>
      <c r="R259" s="13">
        <f t="shared" si="68"/>
        <v>40000</v>
      </c>
      <c r="S259" s="1">
        <f t="shared" si="69"/>
        <v>4000</v>
      </c>
      <c r="T259" s="1">
        <v>0</v>
      </c>
      <c r="U259" s="1">
        <f t="shared" si="70"/>
        <v>0</v>
      </c>
      <c r="V259" s="10" t="s">
        <v>50</v>
      </c>
      <c r="W259" s="1" t="s">
        <v>410</v>
      </c>
      <c r="X259" s="14">
        <f t="shared" si="71"/>
        <v>44000</v>
      </c>
      <c r="Y259" s="14">
        <f t="shared" si="72"/>
        <v>40000</v>
      </c>
      <c r="Z259" s="2">
        <f t="shared" si="78"/>
        <v>0.90909090909090906</v>
      </c>
      <c r="AA259" s="19">
        <v>0</v>
      </c>
      <c r="AB259" s="1">
        <f t="shared" si="74"/>
        <v>-40000</v>
      </c>
      <c r="AC259" s="22">
        <f t="shared" si="75"/>
        <v>1</v>
      </c>
      <c r="AD259" s="23">
        <f t="shared" si="76"/>
        <v>4000</v>
      </c>
    </row>
    <row r="260" spans="1:30" ht="21" customHeight="1">
      <c r="A260" s="26">
        <f t="shared" si="66"/>
        <v>260</v>
      </c>
      <c r="B260" s="8">
        <v>6</v>
      </c>
      <c r="C260" s="36">
        <v>18</v>
      </c>
      <c r="D260" s="10" t="s">
        <v>70</v>
      </c>
      <c r="E260" s="9" t="s">
        <v>531</v>
      </c>
      <c r="F260" s="10">
        <v>2</v>
      </c>
      <c r="G260" s="11">
        <f t="shared" si="67"/>
        <v>50600</v>
      </c>
      <c r="H260" s="31"/>
      <c r="I260" s="12">
        <v>45841</v>
      </c>
      <c r="J260" s="96"/>
      <c r="K260" s="90"/>
      <c r="L260" s="12">
        <v>45826</v>
      </c>
      <c r="M260" s="12">
        <v>45826</v>
      </c>
      <c r="N260" s="1" t="s">
        <v>148</v>
      </c>
      <c r="O260" s="1"/>
      <c r="P260" s="1" t="s">
        <v>150</v>
      </c>
      <c r="Q260" s="1">
        <v>23000</v>
      </c>
      <c r="R260" s="13">
        <f t="shared" si="68"/>
        <v>46000</v>
      </c>
      <c r="S260" s="1">
        <f t="shared" si="69"/>
        <v>4600</v>
      </c>
      <c r="T260" s="1">
        <v>0</v>
      </c>
      <c r="U260" s="1">
        <f t="shared" si="70"/>
        <v>0</v>
      </c>
      <c r="V260" s="10" t="s">
        <v>41</v>
      </c>
      <c r="W260" s="1" t="s">
        <v>275</v>
      </c>
      <c r="X260" s="14">
        <f t="shared" si="71"/>
        <v>50600</v>
      </c>
      <c r="Y260" s="14">
        <f t="shared" si="72"/>
        <v>46000</v>
      </c>
      <c r="Z260" s="2">
        <f t="shared" si="78"/>
        <v>0.90909090909090906</v>
      </c>
      <c r="AA260" s="19">
        <v>0</v>
      </c>
      <c r="AB260" s="1">
        <f t="shared" si="74"/>
        <v>-45999.999999999993</v>
      </c>
      <c r="AC260" s="22">
        <f t="shared" si="75"/>
        <v>1</v>
      </c>
      <c r="AD260" s="23">
        <f t="shared" si="76"/>
        <v>4600.0000000000073</v>
      </c>
    </row>
    <row r="261" spans="1:30" ht="21" customHeight="1">
      <c r="A261" s="26">
        <f t="shared" si="66"/>
        <v>261</v>
      </c>
      <c r="B261" s="8">
        <v>6</v>
      </c>
      <c r="C261" s="36">
        <v>18</v>
      </c>
      <c r="D261" s="10" t="s">
        <v>37</v>
      </c>
      <c r="E261" s="9" t="s">
        <v>532</v>
      </c>
      <c r="F261" s="10">
        <v>1</v>
      </c>
      <c r="G261" s="11">
        <f t="shared" si="67"/>
        <v>16500</v>
      </c>
      <c r="H261" s="31"/>
      <c r="I261" s="18"/>
      <c r="J261" s="95">
        <v>45828</v>
      </c>
      <c r="K261" s="90"/>
      <c r="L261" s="12">
        <v>45826</v>
      </c>
      <c r="M261" s="12">
        <v>45826</v>
      </c>
      <c r="N261" s="1" t="s">
        <v>38</v>
      </c>
      <c r="O261" s="1"/>
      <c r="P261" s="1" t="s">
        <v>83</v>
      </c>
      <c r="Q261" s="1">
        <v>15000</v>
      </c>
      <c r="R261" s="13">
        <f t="shared" si="68"/>
        <v>15000</v>
      </c>
      <c r="S261" s="1">
        <f t="shared" si="69"/>
        <v>1500</v>
      </c>
      <c r="T261" s="1">
        <v>0</v>
      </c>
      <c r="U261" s="1">
        <f t="shared" si="70"/>
        <v>0</v>
      </c>
      <c r="V261" s="10" t="s">
        <v>41</v>
      </c>
      <c r="W261" s="1" t="s">
        <v>140</v>
      </c>
      <c r="X261" s="14">
        <f t="shared" si="71"/>
        <v>16500</v>
      </c>
      <c r="Y261" s="14">
        <f t="shared" si="72"/>
        <v>15000</v>
      </c>
      <c r="Z261" s="2">
        <f t="shared" si="78"/>
        <v>0.90909090909090906</v>
      </c>
      <c r="AA261" s="19">
        <v>0</v>
      </c>
      <c r="AB261" s="1">
        <f t="shared" si="74"/>
        <v>-14999.999999999998</v>
      </c>
      <c r="AC261" s="22">
        <f t="shared" si="75"/>
        <v>1</v>
      </c>
      <c r="AD261" s="23">
        <f t="shared" si="76"/>
        <v>1500.0000000000018</v>
      </c>
    </row>
    <row r="262" spans="1:30" ht="21" customHeight="1">
      <c r="A262" s="26">
        <f t="shared" si="66"/>
        <v>262</v>
      </c>
      <c r="B262" s="8">
        <v>6</v>
      </c>
      <c r="C262" s="36">
        <v>18</v>
      </c>
      <c r="D262" s="10" t="s">
        <v>37</v>
      </c>
      <c r="E262" s="9" t="s">
        <v>532</v>
      </c>
      <c r="F262" s="10">
        <v>1</v>
      </c>
      <c r="G262" s="11">
        <f t="shared" si="67"/>
        <v>16500</v>
      </c>
      <c r="H262" s="31"/>
      <c r="I262" s="18"/>
      <c r="J262" s="95">
        <v>45828</v>
      </c>
      <c r="K262" s="90"/>
      <c r="L262" s="12">
        <v>45826</v>
      </c>
      <c r="M262" s="12">
        <v>45826</v>
      </c>
      <c r="N262" s="1" t="s">
        <v>38</v>
      </c>
      <c r="O262" s="1"/>
      <c r="P262" s="1" t="s">
        <v>63</v>
      </c>
      <c r="Q262" s="1">
        <v>15000</v>
      </c>
      <c r="R262" s="13">
        <f t="shared" si="68"/>
        <v>15000</v>
      </c>
      <c r="S262" s="1">
        <f t="shared" si="69"/>
        <v>1500</v>
      </c>
      <c r="T262" s="1">
        <v>0</v>
      </c>
      <c r="U262" s="1">
        <f t="shared" si="70"/>
        <v>0</v>
      </c>
      <c r="V262" s="10" t="s">
        <v>41</v>
      </c>
      <c r="W262" s="1" t="s">
        <v>140</v>
      </c>
      <c r="X262" s="14">
        <f t="shared" si="71"/>
        <v>16500</v>
      </c>
      <c r="Y262" s="14">
        <f t="shared" si="72"/>
        <v>15000</v>
      </c>
      <c r="Z262" s="2">
        <f t="shared" si="78"/>
        <v>0.90909090909090906</v>
      </c>
      <c r="AA262" s="19">
        <v>0</v>
      </c>
      <c r="AB262" s="1">
        <f t="shared" si="74"/>
        <v>-14999.999999999998</v>
      </c>
      <c r="AC262" s="22">
        <f t="shared" si="75"/>
        <v>1</v>
      </c>
      <c r="AD262" s="23">
        <f t="shared" si="76"/>
        <v>1500.0000000000018</v>
      </c>
    </row>
    <row r="263" spans="1:30" ht="21" customHeight="1">
      <c r="A263" s="26">
        <f t="shared" si="66"/>
        <v>263</v>
      </c>
      <c r="B263" s="8">
        <v>6</v>
      </c>
      <c r="C263" s="36">
        <v>18</v>
      </c>
      <c r="D263" s="10" t="s">
        <v>70</v>
      </c>
      <c r="E263" s="9" t="s">
        <v>533</v>
      </c>
      <c r="F263" s="10">
        <v>1</v>
      </c>
      <c r="G263" s="11">
        <f t="shared" si="67"/>
        <v>31900</v>
      </c>
      <c r="H263" s="31"/>
      <c r="I263" s="12">
        <v>45839</v>
      </c>
      <c r="J263" s="96"/>
      <c r="K263" s="90"/>
      <c r="L263" s="12">
        <v>45826</v>
      </c>
      <c r="M263" s="12">
        <v>45826</v>
      </c>
      <c r="N263" s="1" t="s">
        <v>38</v>
      </c>
      <c r="O263" s="1"/>
      <c r="P263" s="1" t="s">
        <v>164</v>
      </c>
      <c r="Q263" s="1">
        <v>29000</v>
      </c>
      <c r="R263" s="13">
        <f t="shared" si="68"/>
        <v>29000</v>
      </c>
      <c r="S263" s="1">
        <f t="shared" si="69"/>
        <v>2900</v>
      </c>
      <c r="T263" s="1">
        <v>0</v>
      </c>
      <c r="U263" s="1">
        <f t="shared" si="70"/>
        <v>0</v>
      </c>
      <c r="V263" s="10" t="s">
        <v>41</v>
      </c>
      <c r="W263" s="1" t="s">
        <v>161</v>
      </c>
      <c r="X263" s="14">
        <f t="shared" si="71"/>
        <v>31900</v>
      </c>
      <c r="Y263" s="14">
        <f t="shared" si="72"/>
        <v>29000</v>
      </c>
      <c r="Z263" s="2">
        <f t="shared" si="78"/>
        <v>0.90909090909090906</v>
      </c>
      <c r="AA263" s="19">
        <v>0</v>
      </c>
      <c r="AB263" s="1">
        <f t="shared" si="74"/>
        <v>-28999.999999999996</v>
      </c>
      <c r="AC263" s="22">
        <f t="shared" si="75"/>
        <v>1</v>
      </c>
      <c r="AD263" s="23">
        <f t="shared" si="76"/>
        <v>2900.0000000000036</v>
      </c>
    </row>
    <row r="264" spans="1:30" ht="21" customHeight="1">
      <c r="A264" s="26">
        <f t="shared" si="66"/>
        <v>264</v>
      </c>
      <c r="B264" s="8">
        <v>6</v>
      </c>
      <c r="C264" s="36">
        <v>18</v>
      </c>
      <c r="D264" s="10" t="s">
        <v>37</v>
      </c>
      <c r="E264" s="9" t="s">
        <v>534</v>
      </c>
      <c r="F264" s="10">
        <v>2</v>
      </c>
      <c r="G264" s="11">
        <f t="shared" si="67"/>
        <v>48400</v>
      </c>
      <c r="H264" s="31"/>
      <c r="I264" s="18"/>
      <c r="J264" s="95">
        <v>45835</v>
      </c>
      <c r="K264" s="90"/>
      <c r="L264" s="12">
        <v>45826</v>
      </c>
      <c r="M264" s="12">
        <v>45826</v>
      </c>
      <c r="N264" s="1" t="s">
        <v>38</v>
      </c>
      <c r="O264" s="1"/>
      <c r="P264" s="1" t="s">
        <v>184</v>
      </c>
      <c r="Q264" s="1">
        <v>22000</v>
      </c>
      <c r="R264" s="13">
        <f t="shared" si="68"/>
        <v>44000</v>
      </c>
      <c r="S264" s="1">
        <f t="shared" si="69"/>
        <v>4400</v>
      </c>
      <c r="T264" s="1">
        <v>0</v>
      </c>
      <c r="U264" s="1">
        <f t="shared" si="70"/>
        <v>0</v>
      </c>
      <c r="V264" s="10" t="s">
        <v>41</v>
      </c>
      <c r="W264" s="1" t="s">
        <v>470</v>
      </c>
      <c r="X264" s="14">
        <f t="shared" si="71"/>
        <v>48400</v>
      </c>
      <c r="Y264" s="14">
        <f t="shared" si="72"/>
        <v>44000</v>
      </c>
      <c r="Z264" s="2">
        <f t="shared" si="78"/>
        <v>0.90909090909090906</v>
      </c>
      <c r="AA264" s="19">
        <v>0</v>
      </c>
      <c r="AB264" s="1">
        <f t="shared" si="74"/>
        <v>-44000</v>
      </c>
      <c r="AC264" s="22">
        <f t="shared" si="75"/>
        <v>1</v>
      </c>
      <c r="AD264" s="23">
        <f t="shared" si="76"/>
        <v>4400</v>
      </c>
    </row>
    <row r="265" spans="1:30" ht="21" customHeight="1">
      <c r="A265" s="26">
        <f t="shared" si="66"/>
        <v>265</v>
      </c>
      <c r="B265" s="8">
        <v>6</v>
      </c>
      <c r="C265" s="36">
        <v>18</v>
      </c>
      <c r="D265" s="10" t="s">
        <v>37</v>
      </c>
      <c r="E265" s="9" t="s">
        <v>535</v>
      </c>
      <c r="F265" s="10">
        <v>1</v>
      </c>
      <c r="G265" s="11">
        <f t="shared" si="67"/>
        <v>16500</v>
      </c>
      <c r="H265" s="31"/>
      <c r="I265" s="18"/>
      <c r="J265" s="95">
        <v>45835</v>
      </c>
      <c r="K265" s="90"/>
      <c r="L265" s="12">
        <v>45826</v>
      </c>
      <c r="M265" s="12">
        <v>45826</v>
      </c>
      <c r="N265" s="1" t="s">
        <v>38</v>
      </c>
      <c r="O265" s="1"/>
      <c r="P265" s="1" t="s">
        <v>205</v>
      </c>
      <c r="Q265" s="1">
        <v>15000</v>
      </c>
      <c r="R265" s="13">
        <f t="shared" si="68"/>
        <v>15000</v>
      </c>
      <c r="S265" s="1">
        <f t="shared" si="69"/>
        <v>1500</v>
      </c>
      <c r="T265" s="1">
        <v>0</v>
      </c>
      <c r="U265" s="1">
        <f t="shared" si="70"/>
        <v>0</v>
      </c>
      <c r="V265" s="10" t="s">
        <v>41</v>
      </c>
      <c r="W265" s="1" t="s">
        <v>470</v>
      </c>
      <c r="X265" s="14">
        <f t="shared" si="71"/>
        <v>16500</v>
      </c>
      <c r="Y265" s="14">
        <f t="shared" si="72"/>
        <v>15000</v>
      </c>
      <c r="Z265" s="2">
        <f t="shared" si="78"/>
        <v>0.90909090909090906</v>
      </c>
      <c r="AA265" s="19">
        <v>0</v>
      </c>
      <c r="AB265" s="1">
        <f t="shared" si="74"/>
        <v>-14999.999999999998</v>
      </c>
      <c r="AC265" s="22">
        <f t="shared" si="75"/>
        <v>1</v>
      </c>
      <c r="AD265" s="23">
        <f t="shared" si="76"/>
        <v>1500.0000000000018</v>
      </c>
    </row>
    <row r="266" spans="1:30" ht="21" customHeight="1">
      <c r="A266" s="26">
        <f t="shared" si="66"/>
        <v>266</v>
      </c>
      <c r="B266" s="8">
        <v>6</v>
      </c>
      <c r="C266" s="36">
        <v>18</v>
      </c>
      <c r="D266" s="10" t="s">
        <v>87</v>
      </c>
      <c r="E266" s="9" t="s">
        <v>536</v>
      </c>
      <c r="F266" s="10">
        <v>1</v>
      </c>
      <c r="G266" s="11">
        <f t="shared" si="67"/>
        <v>39600</v>
      </c>
      <c r="H266" s="39"/>
      <c r="I266" s="33"/>
      <c r="J266" s="96"/>
      <c r="K266" s="90"/>
      <c r="L266" s="12"/>
      <c r="M266" s="12"/>
      <c r="N266" s="1" t="s">
        <v>38</v>
      </c>
      <c r="O266" s="1" t="s">
        <v>39</v>
      </c>
      <c r="P266" s="1" t="s">
        <v>537</v>
      </c>
      <c r="Q266" s="1">
        <v>36000</v>
      </c>
      <c r="R266" s="13">
        <f t="shared" si="68"/>
        <v>36000</v>
      </c>
      <c r="S266" s="1">
        <f t="shared" si="69"/>
        <v>3600</v>
      </c>
      <c r="T266" s="1">
        <v>0</v>
      </c>
      <c r="U266" s="1">
        <f t="shared" si="70"/>
        <v>0</v>
      </c>
      <c r="V266" s="10" t="s">
        <v>41</v>
      </c>
      <c r="W266" s="1" t="s">
        <v>87</v>
      </c>
      <c r="X266" s="14">
        <f t="shared" si="71"/>
        <v>39600</v>
      </c>
      <c r="Y266" s="14">
        <f t="shared" si="72"/>
        <v>36000</v>
      </c>
      <c r="Z266" s="2">
        <f t="shared" si="78"/>
        <v>0.90909090909090906</v>
      </c>
      <c r="AA266" s="19">
        <v>0</v>
      </c>
      <c r="AB266" s="1">
        <f t="shared" si="74"/>
        <v>-36000</v>
      </c>
      <c r="AC266" s="22">
        <f t="shared" si="75"/>
        <v>1</v>
      </c>
      <c r="AD266" s="23">
        <f t="shared" si="76"/>
        <v>3600</v>
      </c>
    </row>
    <row r="267" spans="1:30" ht="21" customHeight="1">
      <c r="A267" s="26">
        <f t="shared" si="66"/>
        <v>267</v>
      </c>
      <c r="B267" s="8">
        <v>6</v>
      </c>
      <c r="C267" s="36">
        <v>18</v>
      </c>
      <c r="D267" s="10" t="s">
        <v>37</v>
      </c>
      <c r="E267" s="9" t="s">
        <v>538</v>
      </c>
      <c r="F267" s="10">
        <v>1</v>
      </c>
      <c r="G267" s="11">
        <f t="shared" si="67"/>
        <v>18700</v>
      </c>
      <c r="H267" s="31"/>
      <c r="I267" s="18"/>
      <c r="J267" s="95">
        <v>45828</v>
      </c>
      <c r="K267" s="90"/>
      <c r="L267" s="12">
        <v>45826</v>
      </c>
      <c r="M267" s="12">
        <v>45826</v>
      </c>
      <c r="N267" s="1" t="s">
        <v>45</v>
      </c>
      <c r="O267" s="1" t="s">
        <v>506</v>
      </c>
      <c r="P267" s="1" t="s">
        <v>35</v>
      </c>
      <c r="Q267" s="1">
        <v>17000</v>
      </c>
      <c r="R267" s="13">
        <f t="shared" si="68"/>
        <v>17000</v>
      </c>
      <c r="S267" s="1">
        <f t="shared" si="69"/>
        <v>1700</v>
      </c>
      <c r="T267" s="1">
        <v>0</v>
      </c>
      <c r="U267" s="1">
        <f t="shared" si="70"/>
        <v>0</v>
      </c>
      <c r="V267" s="10" t="s">
        <v>36</v>
      </c>
      <c r="W267" s="1" t="s">
        <v>358</v>
      </c>
      <c r="X267" s="14">
        <f t="shared" si="71"/>
        <v>18700</v>
      </c>
      <c r="Y267" s="14">
        <f t="shared" si="72"/>
        <v>17000</v>
      </c>
      <c r="Z267" s="2">
        <f t="shared" si="78"/>
        <v>0.90909090909090906</v>
      </c>
      <c r="AA267" s="19">
        <v>0</v>
      </c>
      <c r="AB267" s="1">
        <f t="shared" si="74"/>
        <v>-17000</v>
      </c>
      <c r="AC267" s="22">
        <f t="shared" si="75"/>
        <v>1</v>
      </c>
      <c r="AD267" s="23">
        <f t="shared" si="76"/>
        <v>1700</v>
      </c>
    </row>
    <row r="268" spans="1:30" ht="21" customHeight="1">
      <c r="A268" s="26">
        <f t="shared" si="66"/>
        <v>268</v>
      </c>
      <c r="B268" s="8">
        <v>6</v>
      </c>
      <c r="C268" s="36">
        <v>18</v>
      </c>
      <c r="D268" s="10" t="s">
        <v>70</v>
      </c>
      <c r="E268" s="9" t="s">
        <v>539</v>
      </c>
      <c r="F268" s="10">
        <v>1</v>
      </c>
      <c r="G268" s="11">
        <f t="shared" si="67"/>
        <v>27500</v>
      </c>
      <c r="H268" s="31"/>
      <c r="I268" s="12">
        <v>45839</v>
      </c>
      <c r="J268" s="96"/>
      <c r="K268" s="90"/>
      <c r="L268" s="12"/>
      <c r="M268" s="12">
        <v>45826</v>
      </c>
      <c r="N268" s="1" t="s">
        <v>42</v>
      </c>
      <c r="O268" s="1"/>
      <c r="P268" s="1" t="s">
        <v>72</v>
      </c>
      <c r="Q268" s="1">
        <v>25000</v>
      </c>
      <c r="R268" s="13">
        <f t="shared" si="68"/>
        <v>25000</v>
      </c>
      <c r="S268" s="1">
        <f t="shared" si="69"/>
        <v>2500</v>
      </c>
      <c r="T268" s="1">
        <v>0</v>
      </c>
      <c r="U268" s="1">
        <f t="shared" si="70"/>
        <v>0</v>
      </c>
      <c r="V268" s="10" t="s">
        <v>41</v>
      </c>
      <c r="W268" s="1" t="s">
        <v>71</v>
      </c>
      <c r="X268" s="14">
        <f t="shared" si="71"/>
        <v>27500</v>
      </c>
      <c r="Y268" s="14">
        <f t="shared" si="72"/>
        <v>25000</v>
      </c>
      <c r="Z268" s="2">
        <f t="shared" si="78"/>
        <v>0.90909090909090906</v>
      </c>
      <c r="AA268" s="19">
        <v>0</v>
      </c>
      <c r="AB268" s="1">
        <f t="shared" si="74"/>
        <v>-24999.999999999996</v>
      </c>
      <c r="AC268" s="22">
        <f t="shared" si="75"/>
        <v>1</v>
      </c>
      <c r="AD268" s="23">
        <f t="shared" si="76"/>
        <v>2500.0000000000036</v>
      </c>
    </row>
    <row r="269" spans="1:30" ht="21" customHeight="1">
      <c r="A269" s="26">
        <f t="shared" si="66"/>
        <v>269</v>
      </c>
      <c r="B269" s="8">
        <v>6</v>
      </c>
      <c r="C269" s="36">
        <v>26</v>
      </c>
      <c r="D269" s="10" t="s">
        <v>37</v>
      </c>
      <c r="E269" s="9" t="s">
        <v>136</v>
      </c>
      <c r="F269" s="10">
        <v>1</v>
      </c>
      <c r="G269" s="11">
        <f t="shared" si="67"/>
        <v>18700</v>
      </c>
      <c r="H269" s="31"/>
      <c r="I269" s="18"/>
      <c r="J269" s="95">
        <v>45840</v>
      </c>
      <c r="K269" s="90"/>
      <c r="L269" s="12">
        <v>45855</v>
      </c>
      <c r="M269" s="12">
        <v>45833</v>
      </c>
      <c r="N269" s="1" t="s">
        <v>45</v>
      </c>
      <c r="O269" s="1" t="s">
        <v>506</v>
      </c>
      <c r="P269" s="1" t="s">
        <v>35</v>
      </c>
      <c r="Q269" s="1">
        <v>17000</v>
      </c>
      <c r="R269" s="13">
        <f t="shared" si="68"/>
        <v>17000</v>
      </c>
      <c r="S269" s="1">
        <f t="shared" si="69"/>
        <v>1700</v>
      </c>
      <c r="T269" s="1">
        <v>0</v>
      </c>
      <c r="U269" s="1">
        <f t="shared" si="70"/>
        <v>0</v>
      </c>
      <c r="V269" s="10" t="s">
        <v>36</v>
      </c>
      <c r="W269" s="1" t="s">
        <v>358</v>
      </c>
      <c r="X269" s="14">
        <f t="shared" si="71"/>
        <v>18700</v>
      </c>
      <c r="Y269" s="14">
        <f t="shared" si="72"/>
        <v>17000</v>
      </c>
      <c r="Z269" s="2">
        <f t="shared" si="78"/>
        <v>0.90909090909090906</v>
      </c>
      <c r="AA269" s="19">
        <v>0</v>
      </c>
      <c r="AB269" s="1">
        <f t="shared" si="74"/>
        <v>-17000</v>
      </c>
      <c r="AC269" s="22">
        <f t="shared" si="75"/>
        <v>1</v>
      </c>
      <c r="AD269" s="23">
        <f t="shared" si="76"/>
        <v>1700</v>
      </c>
    </row>
    <row r="270" spans="1:30" ht="21" customHeight="1">
      <c r="A270" s="26">
        <f t="shared" si="66"/>
        <v>270</v>
      </c>
      <c r="B270" s="8">
        <v>6</v>
      </c>
      <c r="C270" s="36">
        <v>26</v>
      </c>
      <c r="D270" s="10" t="s">
        <v>225</v>
      </c>
      <c r="E270" s="9" t="s">
        <v>540</v>
      </c>
      <c r="F270" s="10">
        <v>2</v>
      </c>
      <c r="G270" s="11">
        <f t="shared" si="67"/>
        <v>167200</v>
      </c>
      <c r="H270" s="31"/>
      <c r="I270" s="18"/>
      <c r="J270" s="95">
        <v>45848</v>
      </c>
      <c r="K270" s="90"/>
      <c r="L270" s="12"/>
      <c r="M270" s="12"/>
      <c r="N270" s="1" t="s">
        <v>38</v>
      </c>
      <c r="O270" s="1" t="s">
        <v>39</v>
      </c>
      <c r="P270" s="1" t="s">
        <v>541</v>
      </c>
      <c r="Q270" s="1">
        <v>76000</v>
      </c>
      <c r="R270" s="13">
        <f t="shared" si="68"/>
        <v>152000</v>
      </c>
      <c r="S270" s="1">
        <f t="shared" si="69"/>
        <v>15200</v>
      </c>
      <c r="T270" s="1">
        <v>0</v>
      </c>
      <c r="U270" s="1">
        <f t="shared" si="70"/>
        <v>0</v>
      </c>
      <c r="V270" s="10" t="s">
        <v>542</v>
      </c>
      <c r="W270" s="1" t="s">
        <v>186</v>
      </c>
      <c r="X270" s="14">
        <f t="shared" si="71"/>
        <v>57200</v>
      </c>
      <c r="Y270" s="14">
        <f t="shared" si="72"/>
        <v>42000</v>
      </c>
      <c r="Z270" s="2">
        <f t="shared" si="78"/>
        <v>0.25119617224880381</v>
      </c>
      <c r="AA270" s="19">
        <v>110000</v>
      </c>
      <c r="AB270" s="1">
        <f t="shared" si="74"/>
        <v>-52000.000000000015</v>
      </c>
      <c r="AC270" s="22">
        <f t="shared" si="75"/>
        <v>0.34210526315789486</v>
      </c>
      <c r="AD270" s="23">
        <f t="shared" si="76"/>
        <v>5199.9999999999854</v>
      </c>
    </row>
    <row r="271" spans="1:30" ht="21" customHeight="1">
      <c r="A271" s="26">
        <f t="shared" si="66"/>
        <v>271</v>
      </c>
      <c r="B271" s="8">
        <v>6</v>
      </c>
      <c r="C271" s="36">
        <v>26</v>
      </c>
      <c r="D271" s="10" t="s">
        <v>225</v>
      </c>
      <c r="E271" s="9" t="s">
        <v>540</v>
      </c>
      <c r="F271" s="10">
        <v>1</v>
      </c>
      <c r="G271" s="11">
        <f t="shared" si="67"/>
        <v>30800</v>
      </c>
      <c r="H271" s="31"/>
      <c r="I271" s="18"/>
      <c r="J271" s="95">
        <v>45848</v>
      </c>
      <c r="K271" s="90"/>
      <c r="L271" s="12"/>
      <c r="M271" s="12"/>
      <c r="N271" s="1" t="s">
        <v>38</v>
      </c>
      <c r="O271" s="1" t="s">
        <v>39</v>
      </c>
      <c r="P271" s="1" t="s">
        <v>543</v>
      </c>
      <c r="Q271" s="1">
        <v>28000</v>
      </c>
      <c r="R271" s="13">
        <f t="shared" si="68"/>
        <v>28000</v>
      </c>
      <c r="S271" s="1">
        <f t="shared" si="69"/>
        <v>2800</v>
      </c>
      <c r="T271" s="1">
        <v>0</v>
      </c>
      <c r="U271" s="1">
        <f t="shared" si="70"/>
        <v>0</v>
      </c>
      <c r="V271" s="10" t="s">
        <v>542</v>
      </c>
      <c r="W271" s="1" t="s">
        <v>186</v>
      </c>
      <c r="X271" s="14">
        <f t="shared" si="71"/>
        <v>5500</v>
      </c>
      <c r="Y271" s="14">
        <f t="shared" si="72"/>
        <v>2700</v>
      </c>
      <c r="Z271" s="2">
        <f t="shared" si="78"/>
        <v>8.7662337662337664E-2</v>
      </c>
      <c r="AA271" s="19">
        <v>25300</v>
      </c>
      <c r="AB271" s="1">
        <f t="shared" si="74"/>
        <v>-5000</v>
      </c>
      <c r="AC271" s="22">
        <f t="shared" si="75"/>
        <v>0.1785714285714286</v>
      </c>
      <c r="AD271" s="23">
        <f t="shared" si="76"/>
        <v>500</v>
      </c>
    </row>
    <row r="272" spans="1:30" ht="21" customHeight="1">
      <c r="A272" s="26">
        <f t="shared" si="66"/>
        <v>272</v>
      </c>
      <c r="B272" s="8">
        <v>6</v>
      </c>
      <c r="C272" s="36">
        <v>26</v>
      </c>
      <c r="D272" s="10" t="s">
        <v>225</v>
      </c>
      <c r="E272" s="9" t="s">
        <v>544</v>
      </c>
      <c r="F272" s="10">
        <v>8</v>
      </c>
      <c r="G272" s="11">
        <f t="shared" si="67"/>
        <v>220000</v>
      </c>
      <c r="H272" s="31"/>
      <c r="I272" s="18"/>
      <c r="J272" s="95">
        <v>45848</v>
      </c>
      <c r="K272" s="90"/>
      <c r="L272" s="34"/>
      <c r="M272" s="34"/>
      <c r="N272" s="1" t="s">
        <v>79</v>
      </c>
      <c r="O272" s="1" t="s">
        <v>545</v>
      </c>
      <c r="P272" s="1" t="s">
        <v>81</v>
      </c>
      <c r="Q272" s="1">
        <v>25000</v>
      </c>
      <c r="R272" s="13">
        <f t="shared" si="68"/>
        <v>200000</v>
      </c>
      <c r="S272" s="1">
        <f t="shared" si="69"/>
        <v>20000</v>
      </c>
      <c r="T272" s="1">
        <v>0</v>
      </c>
      <c r="U272" s="1">
        <f t="shared" si="70"/>
        <v>0</v>
      </c>
      <c r="V272" s="10" t="s">
        <v>542</v>
      </c>
      <c r="W272" s="1" t="s">
        <v>186</v>
      </c>
      <c r="X272" s="14">
        <f t="shared" si="71"/>
        <v>104500</v>
      </c>
      <c r="Y272" s="14">
        <f t="shared" si="72"/>
        <v>84500</v>
      </c>
      <c r="Z272" s="2">
        <f t="shared" si="78"/>
        <v>0.38409090909090909</v>
      </c>
      <c r="AA272" s="19">
        <v>115500</v>
      </c>
      <c r="AB272" s="1">
        <f t="shared" si="74"/>
        <v>-94999.999999999985</v>
      </c>
      <c r="AC272" s="20">
        <f t="shared" si="75"/>
        <v>0.47499999999999998</v>
      </c>
      <c r="AD272" s="21">
        <f t="shared" si="76"/>
        <v>9500.0000000000146</v>
      </c>
    </row>
    <row r="273" spans="1:30" ht="21" customHeight="1">
      <c r="A273" s="26">
        <f t="shared" si="66"/>
        <v>273</v>
      </c>
      <c r="B273" s="8">
        <v>6</v>
      </c>
      <c r="C273" s="36">
        <v>26</v>
      </c>
      <c r="D273" s="10" t="s">
        <v>225</v>
      </c>
      <c r="E273" s="9" t="s">
        <v>540</v>
      </c>
      <c r="F273" s="10">
        <v>5</v>
      </c>
      <c r="G273" s="11">
        <f t="shared" si="67"/>
        <v>110000</v>
      </c>
      <c r="H273" s="31"/>
      <c r="I273" s="18"/>
      <c r="J273" s="95">
        <v>45848</v>
      </c>
      <c r="K273" s="90"/>
      <c r="L273" s="34"/>
      <c r="M273" s="34"/>
      <c r="N273" s="1" t="s">
        <v>42</v>
      </c>
      <c r="O273" s="1"/>
      <c r="P273" s="1" t="s">
        <v>445</v>
      </c>
      <c r="Q273" s="1">
        <v>20000</v>
      </c>
      <c r="R273" s="13">
        <f t="shared" si="68"/>
        <v>100000</v>
      </c>
      <c r="S273" s="1">
        <f t="shared" si="69"/>
        <v>10000</v>
      </c>
      <c r="T273" s="1">
        <v>0</v>
      </c>
      <c r="U273" s="1">
        <f t="shared" si="70"/>
        <v>0</v>
      </c>
      <c r="V273" s="10" t="s">
        <v>542</v>
      </c>
      <c r="W273" s="1" t="s">
        <v>186</v>
      </c>
      <c r="X273" s="14">
        <f t="shared" si="71"/>
        <v>27500</v>
      </c>
      <c r="Y273" s="14">
        <f t="shared" si="72"/>
        <v>17500</v>
      </c>
      <c r="Z273" s="2">
        <f t="shared" si="78"/>
        <v>0.15909090909090909</v>
      </c>
      <c r="AA273" s="19">
        <v>82500</v>
      </c>
      <c r="AB273" s="1">
        <f t="shared" si="74"/>
        <v>-24999.999999999985</v>
      </c>
      <c r="AC273" s="20">
        <f t="shared" si="75"/>
        <v>0.24999999999999989</v>
      </c>
      <c r="AD273" s="21">
        <f t="shared" si="76"/>
        <v>2500.0000000000146</v>
      </c>
    </row>
    <row r="274" spans="1:30" ht="21" customHeight="1">
      <c r="A274" s="26">
        <f t="shared" si="66"/>
        <v>274</v>
      </c>
      <c r="B274" s="8">
        <v>6</v>
      </c>
      <c r="C274" s="36">
        <v>26</v>
      </c>
      <c r="D274" s="10" t="s">
        <v>225</v>
      </c>
      <c r="E274" s="9" t="s">
        <v>540</v>
      </c>
      <c r="F274" s="10">
        <v>1</v>
      </c>
      <c r="G274" s="11">
        <f t="shared" si="67"/>
        <v>16500</v>
      </c>
      <c r="H274" s="31"/>
      <c r="I274" s="18"/>
      <c r="J274" s="95">
        <v>45848</v>
      </c>
      <c r="K274" s="90"/>
      <c r="L274" s="34"/>
      <c r="M274" s="34"/>
      <c r="N274" s="1" t="s">
        <v>38</v>
      </c>
      <c r="O274" s="1" t="s">
        <v>39</v>
      </c>
      <c r="P274" s="1" t="s">
        <v>546</v>
      </c>
      <c r="Q274" s="1">
        <v>15000</v>
      </c>
      <c r="R274" s="13">
        <f t="shared" si="68"/>
        <v>15000</v>
      </c>
      <c r="S274" s="1">
        <f t="shared" si="69"/>
        <v>1500</v>
      </c>
      <c r="T274" s="1">
        <v>0</v>
      </c>
      <c r="U274" s="1">
        <f t="shared" si="70"/>
        <v>0</v>
      </c>
      <c r="V274" s="10" t="s">
        <v>542</v>
      </c>
      <c r="W274" s="1" t="s">
        <v>186</v>
      </c>
      <c r="X274" s="14">
        <f t="shared" si="71"/>
        <v>3300</v>
      </c>
      <c r="Y274" s="14">
        <f t="shared" si="72"/>
        <v>1800</v>
      </c>
      <c r="Z274" s="2">
        <f t="shared" si="78"/>
        <v>0.10909090909090909</v>
      </c>
      <c r="AA274" s="19">
        <v>13200</v>
      </c>
      <c r="AB274" s="1">
        <f t="shared" si="74"/>
        <v>-3000</v>
      </c>
      <c r="AC274" s="20">
        <f t="shared" si="75"/>
        <v>0.2</v>
      </c>
      <c r="AD274" s="21">
        <f t="shared" si="76"/>
        <v>300</v>
      </c>
    </row>
    <row r="275" spans="1:30" ht="21" customHeight="1">
      <c r="A275" s="26">
        <f t="shared" si="66"/>
        <v>275</v>
      </c>
      <c r="B275" s="8">
        <v>6</v>
      </c>
      <c r="C275" s="36">
        <v>26</v>
      </c>
      <c r="D275" s="10" t="s">
        <v>225</v>
      </c>
      <c r="E275" s="9" t="s">
        <v>540</v>
      </c>
      <c r="F275" s="10">
        <v>1</v>
      </c>
      <c r="G275" s="11">
        <f t="shared" si="67"/>
        <v>33000</v>
      </c>
      <c r="H275" s="31"/>
      <c r="I275" s="18"/>
      <c r="J275" s="95">
        <v>45848</v>
      </c>
      <c r="K275" s="90"/>
      <c r="L275" s="34"/>
      <c r="M275" s="34"/>
      <c r="N275" s="1" t="s">
        <v>38</v>
      </c>
      <c r="O275" s="1" t="s">
        <v>39</v>
      </c>
      <c r="P275" s="1" t="s">
        <v>547</v>
      </c>
      <c r="Q275" s="1">
        <v>30000</v>
      </c>
      <c r="R275" s="13">
        <f t="shared" si="68"/>
        <v>30000</v>
      </c>
      <c r="S275" s="1">
        <f t="shared" si="69"/>
        <v>3000</v>
      </c>
      <c r="T275" s="1">
        <v>0</v>
      </c>
      <c r="U275" s="1">
        <f t="shared" si="70"/>
        <v>0</v>
      </c>
      <c r="V275" s="10" t="s">
        <v>542</v>
      </c>
      <c r="W275" s="1" t="s">
        <v>186</v>
      </c>
      <c r="X275" s="14">
        <f t="shared" si="71"/>
        <v>7700</v>
      </c>
      <c r="Y275" s="14">
        <f t="shared" si="72"/>
        <v>4700</v>
      </c>
      <c r="Z275" s="2">
        <f t="shared" si="78"/>
        <v>0.14242424242424243</v>
      </c>
      <c r="AA275" s="19">
        <v>25300</v>
      </c>
      <c r="AB275" s="1">
        <f t="shared" si="74"/>
        <v>-7000</v>
      </c>
      <c r="AC275" s="20">
        <f t="shared" si="75"/>
        <v>0.23333333333333336</v>
      </c>
      <c r="AD275" s="21">
        <f t="shared" si="76"/>
        <v>700</v>
      </c>
    </row>
    <row r="276" spans="1:30" ht="21" customHeight="1">
      <c r="A276" s="26">
        <f t="shared" si="66"/>
        <v>276</v>
      </c>
      <c r="B276" s="8">
        <v>6</v>
      </c>
      <c r="C276" s="36">
        <v>26</v>
      </c>
      <c r="D276" s="10" t="s">
        <v>225</v>
      </c>
      <c r="E276" s="9" t="s">
        <v>540</v>
      </c>
      <c r="F276" s="10">
        <v>1</v>
      </c>
      <c r="G276" s="11">
        <f t="shared" si="67"/>
        <v>20900</v>
      </c>
      <c r="H276" s="31"/>
      <c r="I276" s="18"/>
      <c r="J276" s="95">
        <v>45848</v>
      </c>
      <c r="K276" s="90"/>
      <c r="L276" s="34"/>
      <c r="M276" s="34"/>
      <c r="N276" s="1" t="s">
        <v>38</v>
      </c>
      <c r="O276" s="1" t="s">
        <v>39</v>
      </c>
      <c r="P276" s="1" t="s">
        <v>118</v>
      </c>
      <c r="Q276" s="1">
        <v>19000</v>
      </c>
      <c r="R276" s="13">
        <f t="shared" si="68"/>
        <v>19000</v>
      </c>
      <c r="S276" s="1">
        <f t="shared" si="69"/>
        <v>1900</v>
      </c>
      <c r="T276" s="1">
        <v>0</v>
      </c>
      <c r="U276" s="1">
        <f t="shared" si="70"/>
        <v>0</v>
      </c>
      <c r="V276" s="10" t="s">
        <v>542</v>
      </c>
      <c r="W276" s="1" t="s">
        <v>186</v>
      </c>
      <c r="X276" s="14">
        <f t="shared" si="71"/>
        <v>5500</v>
      </c>
      <c r="Y276" s="14">
        <f t="shared" si="72"/>
        <v>3600</v>
      </c>
      <c r="Z276" s="2">
        <f t="shared" si="78"/>
        <v>0.17224880382775121</v>
      </c>
      <c r="AA276" s="19">
        <v>15400</v>
      </c>
      <c r="AB276" s="1">
        <f t="shared" si="74"/>
        <v>-5000.0000000000018</v>
      </c>
      <c r="AC276" s="20">
        <f t="shared" si="75"/>
        <v>0.2631578947368422</v>
      </c>
      <c r="AD276" s="21">
        <f t="shared" si="76"/>
        <v>499.99999999999818</v>
      </c>
    </row>
    <row r="277" spans="1:30" ht="21" customHeight="1">
      <c r="A277" s="26">
        <f t="shared" si="66"/>
        <v>277</v>
      </c>
      <c r="B277" s="8">
        <v>6</v>
      </c>
      <c r="C277" s="36">
        <v>26</v>
      </c>
      <c r="D277" s="10" t="s">
        <v>225</v>
      </c>
      <c r="E277" s="9" t="s">
        <v>540</v>
      </c>
      <c r="F277" s="10">
        <v>2</v>
      </c>
      <c r="G277" s="11">
        <f t="shared" si="67"/>
        <v>37400</v>
      </c>
      <c r="H277" s="31"/>
      <c r="I277" s="18"/>
      <c r="J277" s="95">
        <v>45848</v>
      </c>
      <c r="K277" s="90"/>
      <c r="L277" s="34"/>
      <c r="M277" s="34"/>
      <c r="N277" s="1" t="s">
        <v>38</v>
      </c>
      <c r="O277" s="1" t="s">
        <v>39</v>
      </c>
      <c r="P277" s="1" t="s">
        <v>548</v>
      </c>
      <c r="Q277" s="1">
        <v>17000</v>
      </c>
      <c r="R277" s="13">
        <f t="shared" si="68"/>
        <v>34000</v>
      </c>
      <c r="S277" s="1">
        <f t="shared" si="69"/>
        <v>3400</v>
      </c>
      <c r="T277" s="1">
        <v>0</v>
      </c>
      <c r="U277" s="1">
        <f t="shared" si="70"/>
        <v>0</v>
      </c>
      <c r="V277" s="10" t="s">
        <v>542</v>
      </c>
      <c r="W277" s="1" t="s">
        <v>186</v>
      </c>
      <c r="X277" s="14">
        <f t="shared" si="71"/>
        <v>8800</v>
      </c>
      <c r="Y277" s="14">
        <f t="shared" si="72"/>
        <v>5400</v>
      </c>
      <c r="Z277" s="2">
        <f t="shared" si="78"/>
        <v>0.14438502673796791</v>
      </c>
      <c r="AA277" s="19">
        <v>28600</v>
      </c>
      <c r="AB277" s="1">
        <f t="shared" si="74"/>
        <v>-8000.0000000000036</v>
      </c>
      <c r="AC277" s="20">
        <f t="shared" si="75"/>
        <v>0.23529411764705893</v>
      </c>
      <c r="AD277" s="21">
        <f t="shared" si="76"/>
        <v>799.99999999999636</v>
      </c>
    </row>
    <row r="278" spans="1:30" ht="21" customHeight="1">
      <c r="A278" s="26">
        <f t="shared" si="66"/>
        <v>278</v>
      </c>
      <c r="B278" s="8">
        <v>6</v>
      </c>
      <c r="C278" s="36">
        <v>26</v>
      </c>
      <c r="D278" s="10" t="s">
        <v>225</v>
      </c>
      <c r="E278" s="9" t="s">
        <v>540</v>
      </c>
      <c r="F278" s="10">
        <v>1</v>
      </c>
      <c r="G278" s="11">
        <f t="shared" si="67"/>
        <v>187000</v>
      </c>
      <c r="H278" s="31"/>
      <c r="I278" s="18"/>
      <c r="J278" s="95">
        <v>45848</v>
      </c>
      <c r="K278" s="90"/>
      <c r="L278" s="34"/>
      <c r="M278" s="34"/>
      <c r="N278" s="1" t="s">
        <v>38</v>
      </c>
      <c r="O278" s="1" t="s">
        <v>39</v>
      </c>
      <c r="P278" s="1" t="s">
        <v>549</v>
      </c>
      <c r="Q278" s="1">
        <v>170000</v>
      </c>
      <c r="R278" s="13">
        <f t="shared" si="68"/>
        <v>170000</v>
      </c>
      <c r="S278" s="1">
        <f t="shared" si="69"/>
        <v>17000</v>
      </c>
      <c r="T278" s="1">
        <v>0</v>
      </c>
      <c r="U278" s="1">
        <f t="shared" si="70"/>
        <v>0</v>
      </c>
      <c r="V278" s="10" t="s">
        <v>542</v>
      </c>
      <c r="W278" s="1" t="s">
        <v>186</v>
      </c>
      <c r="X278" s="14">
        <f t="shared" si="71"/>
        <v>55000</v>
      </c>
      <c r="Y278" s="14">
        <f t="shared" si="72"/>
        <v>38000</v>
      </c>
      <c r="Z278" s="2">
        <f t="shared" si="78"/>
        <v>0.20320855614973263</v>
      </c>
      <c r="AA278" s="19">
        <v>132000</v>
      </c>
      <c r="AB278" s="1">
        <f t="shared" si="74"/>
        <v>-50000.000000000015</v>
      </c>
      <c r="AC278" s="20">
        <f t="shared" si="75"/>
        <v>0.29411764705882359</v>
      </c>
      <c r="AD278" s="21">
        <f t="shared" si="76"/>
        <v>4999.9999999999854</v>
      </c>
    </row>
    <row r="279" spans="1:30" ht="21" customHeight="1">
      <c r="A279" s="26">
        <f t="shared" si="66"/>
        <v>279</v>
      </c>
      <c r="B279" s="8">
        <v>6</v>
      </c>
      <c r="C279" s="36">
        <v>26</v>
      </c>
      <c r="D279" s="10" t="s">
        <v>225</v>
      </c>
      <c r="E279" s="9" t="s">
        <v>550</v>
      </c>
      <c r="F279" s="10">
        <v>2</v>
      </c>
      <c r="G279" s="11">
        <f t="shared" si="67"/>
        <v>70400</v>
      </c>
      <c r="H279" s="31"/>
      <c r="I279" s="18"/>
      <c r="J279" s="95">
        <v>45848</v>
      </c>
      <c r="K279" s="90"/>
      <c r="L279" s="34"/>
      <c r="M279" s="34"/>
      <c r="N279" s="1" t="s">
        <v>262</v>
      </c>
      <c r="O279" s="1"/>
      <c r="P279" s="1"/>
      <c r="Q279" s="1">
        <v>32000</v>
      </c>
      <c r="R279" s="13">
        <f t="shared" si="68"/>
        <v>64000</v>
      </c>
      <c r="S279" s="1">
        <f t="shared" si="69"/>
        <v>6400</v>
      </c>
      <c r="T279" s="1">
        <v>0</v>
      </c>
      <c r="U279" s="1">
        <f t="shared" si="70"/>
        <v>0</v>
      </c>
      <c r="V279" s="10" t="s">
        <v>542</v>
      </c>
      <c r="W279" s="1" t="s">
        <v>186</v>
      </c>
      <c r="X279" s="14">
        <f t="shared" si="71"/>
        <v>30400</v>
      </c>
      <c r="Y279" s="14">
        <f t="shared" si="72"/>
        <v>24000</v>
      </c>
      <c r="Z279" s="2">
        <f t="shared" si="78"/>
        <v>0.34090909090909088</v>
      </c>
      <c r="AA279" s="19">
        <v>40000</v>
      </c>
      <c r="AB279" s="1">
        <f t="shared" si="74"/>
        <v>-27636.363636363632</v>
      </c>
      <c r="AC279" s="20">
        <f t="shared" si="75"/>
        <v>0.43181818181818182</v>
      </c>
      <c r="AD279" s="21">
        <f t="shared" si="76"/>
        <v>2763.6363636363676</v>
      </c>
    </row>
    <row r="280" spans="1:30" ht="21" customHeight="1">
      <c r="A280" s="26">
        <f t="shared" si="66"/>
        <v>280</v>
      </c>
      <c r="B280" s="8">
        <v>6</v>
      </c>
      <c r="C280" s="36">
        <v>30</v>
      </c>
      <c r="D280" s="10" t="s">
        <v>47</v>
      </c>
      <c r="E280" s="9" t="s">
        <v>110</v>
      </c>
      <c r="F280" s="10">
        <v>1</v>
      </c>
      <c r="G280" s="11">
        <f t="shared" si="67"/>
        <v>473000</v>
      </c>
      <c r="H280" s="31"/>
      <c r="I280" s="18"/>
      <c r="J280" s="95">
        <v>45839</v>
      </c>
      <c r="K280" s="90"/>
      <c r="L280" s="34"/>
      <c r="M280" s="34"/>
      <c r="N280" s="1" t="s">
        <v>551</v>
      </c>
      <c r="O280" s="1"/>
      <c r="P280" s="1"/>
      <c r="Q280" s="1">
        <v>430000</v>
      </c>
      <c r="R280" s="13">
        <f t="shared" si="68"/>
        <v>430000</v>
      </c>
      <c r="S280" s="1">
        <f t="shared" si="69"/>
        <v>43000</v>
      </c>
      <c r="T280" s="1">
        <v>0</v>
      </c>
      <c r="U280" s="1">
        <f t="shared" si="70"/>
        <v>0</v>
      </c>
      <c r="V280" s="10" t="s">
        <v>36</v>
      </c>
      <c r="W280" s="1" t="s">
        <v>474</v>
      </c>
      <c r="X280" s="14">
        <f t="shared" si="71"/>
        <v>252500</v>
      </c>
      <c r="Y280" s="14">
        <f t="shared" si="72"/>
        <v>209500</v>
      </c>
      <c r="Z280" s="2">
        <f t="shared" si="78"/>
        <v>0.44291754756871038</v>
      </c>
      <c r="AA280" s="19">
        <v>220500</v>
      </c>
      <c r="AB280" s="1">
        <f t="shared" si="74"/>
        <v>-229545.4545454545</v>
      </c>
      <c r="AC280" s="20">
        <f t="shared" si="75"/>
        <v>0.53382663847780121</v>
      </c>
      <c r="AD280" s="21">
        <f t="shared" si="76"/>
        <v>22954.5454545455</v>
      </c>
    </row>
    <row r="281" spans="1:30" ht="2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  <c r="AA281" s="1"/>
      <c r="AB281" s="1"/>
      <c r="AC281" s="1"/>
      <c r="AD281" s="1"/>
    </row>
    <row r="282" spans="1:30" ht="21" customHeight="1">
      <c r="A282" s="26">
        <f t="shared" ref="A282:A303" si="79">ROW()</f>
        <v>282</v>
      </c>
      <c r="B282" s="43">
        <v>7</v>
      </c>
      <c r="C282" s="44">
        <v>2</v>
      </c>
      <c r="D282" s="1" t="s">
        <v>70</v>
      </c>
      <c r="E282" s="9" t="s">
        <v>384</v>
      </c>
      <c r="F282" s="10">
        <v>1</v>
      </c>
      <c r="G282" s="11">
        <f t="shared" ref="G282:G303" si="80">R282+S282+T282+U282</f>
        <v>55000</v>
      </c>
      <c r="H282" s="31"/>
      <c r="I282" s="33"/>
      <c r="J282" s="96"/>
      <c r="K282" s="90"/>
      <c r="L282" s="12">
        <v>45860</v>
      </c>
      <c r="M282" s="12">
        <v>45840</v>
      </c>
      <c r="N282" s="1" t="s">
        <v>38</v>
      </c>
      <c r="O282" s="1" t="s">
        <v>39</v>
      </c>
      <c r="P282" s="1" t="s">
        <v>78</v>
      </c>
      <c r="Q282" s="10">
        <v>50000</v>
      </c>
      <c r="R282" s="13">
        <f t="shared" ref="R282:R303" si="81">Q282*F282</f>
        <v>50000</v>
      </c>
      <c r="S282" s="1">
        <f t="shared" ref="S282:S303" si="82">R282*0.1</f>
        <v>5000</v>
      </c>
      <c r="T282" s="1">
        <v>0</v>
      </c>
      <c r="U282" s="1">
        <f t="shared" ref="U282:U303" si="83">T282*0.1</f>
        <v>0</v>
      </c>
      <c r="V282" s="10" t="s">
        <v>36</v>
      </c>
      <c r="W282" s="1" t="s">
        <v>144</v>
      </c>
      <c r="X282" s="14">
        <f t="shared" ref="X282:X303" si="84">G282-AA282</f>
        <v>-40040</v>
      </c>
      <c r="Y282" s="14">
        <f t="shared" ref="Y282:Y303" si="85">X282-S282</f>
        <v>-45040</v>
      </c>
      <c r="Z282" s="2">
        <f t="shared" ref="Z282:Z293" si="86">Y282/G282</f>
        <v>-0.81890909090909092</v>
      </c>
      <c r="AA282" s="19">
        <v>95040</v>
      </c>
      <c r="AB282" s="1">
        <f t="shared" ref="AB282:AB303" si="87">(AA282/1.1)-(G282/1.1)</f>
        <v>36400.000000000007</v>
      </c>
      <c r="AC282" s="22">
        <f t="shared" ref="AC282:AC303" si="88">((G282/1.1) - (AA282/1.1)) / (G282/1.1) * 1</f>
        <v>-0.7280000000000002</v>
      </c>
      <c r="AD282" s="23">
        <f t="shared" ref="AD282:AD303" si="89">(G282 - (G282 / 1.1)) - (AA282 - (AA282 / 1.1))</f>
        <v>-3639.9999999999927</v>
      </c>
    </row>
    <row r="283" spans="1:30" ht="21" customHeight="1">
      <c r="A283" s="26">
        <f t="shared" si="79"/>
        <v>283</v>
      </c>
      <c r="B283" s="43">
        <v>7</v>
      </c>
      <c r="C283" s="44">
        <v>2</v>
      </c>
      <c r="D283" s="1" t="s">
        <v>70</v>
      </c>
      <c r="E283" s="9" t="s">
        <v>384</v>
      </c>
      <c r="F283" s="10">
        <v>4</v>
      </c>
      <c r="G283" s="11">
        <f t="shared" si="80"/>
        <v>88000</v>
      </c>
      <c r="H283" s="31"/>
      <c r="I283" s="33"/>
      <c r="J283" s="96"/>
      <c r="K283" s="90"/>
      <c r="L283" s="12">
        <v>45860</v>
      </c>
      <c r="M283" s="12">
        <v>45840</v>
      </c>
      <c r="N283" s="1" t="s">
        <v>79</v>
      </c>
      <c r="O283" s="1" t="s">
        <v>385</v>
      </c>
      <c r="P283" s="1" t="s">
        <v>81</v>
      </c>
      <c r="Q283" s="10">
        <v>20000</v>
      </c>
      <c r="R283" s="13">
        <f t="shared" si="81"/>
        <v>80000</v>
      </c>
      <c r="S283" s="1">
        <f t="shared" si="82"/>
        <v>8000</v>
      </c>
      <c r="T283" s="1">
        <v>0</v>
      </c>
      <c r="U283" s="1">
        <f t="shared" si="83"/>
        <v>0</v>
      </c>
      <c r="V283" s="10" t="s">
        <v>36</v>
      </c>
      <c r="W283" s="1" t="s">
        <v>144</v>
      </c>
      <c r="X283" s="14">
        <f t="shared" si="84"/>
        <v>88000</v>
      </c>
      <c r="Y283" s="14">
        <f t="shared" si="85"/>
        <v>80000</v>
      </c>
      <c r="Z283" s="2">
        <f t="shared" si="86"/>
        <v>0.90909090909090906</v>
      </c>
      <c r="AA283" s="19">
        <v>0</v>
      </c>
      <c r="AB283" s="1">
        <f t="shared" si="87"/>
        <v>-80000</v>
      </c>
      <c r="AC283" s="22">
        <f t="shared" si="88"/>
        <v>1</v>
      </c>
      <c r="AD283" s="23">
        <f t="shared" si="89"/>
        <v>8000</v>
      </c>
    </row>
    <row r="284" spans="1:30" ht="21" customHeight="1">
      <c r="A284" s="26">
        <f t="shared" si="79"/>
        <v>284</v>
      </c>
      <c r="B284" s="43">
        <v>7</v>
      </c>
      <c r="C284" s="44">
        <v>2</v>
      </c>
      <c r="D284" s="1" t="s">
        <v>70</v>
      </c>
      <c r="E284" s="9" t="s">
        <v>384</v>
      </c>
      <c r="F284" s="10">
        <v>1</v>
      </c>
      <c r="G284" s="11">
        <f t="shared" si="80"/>
        <v>27500</v>
      </c>
      <c r="H284" s="31"/>
      <c r="I284" s="33"/>
      <c r="J284" s="96"/>
      <c r="K284" s="90"/>
      <c r="L284" s="12">
        <v>45860</v>
      </c>
      <c r="M284" s="12">
        <v>45840</v>
      </c>
      <c r="N284" s="1" t="s">
        <v>42</v>
      </c>
      <c r="O284" s="1" t="s">
        <v>121</v>
      </c>
      <c r="P284" s="1" t="s">
        <v>72</v>
      </c>
      <c r="Q284" s="10">
        <v>25000</v>
      </c>
      <c r="R284" s="13">
        <f t="shared" si="81"/>
        <v>25000</v>
      </c>
      <c r="S284" s="1">
        <f t="shared" si="82"/>
        <v>2500</v>
      </c>
      <c r="T284" s="1">
        <v>0</v>
      </c>
      <c r="U284" s="1">
        <f t="shared" si="83"/>
        <v>0</v>
      </c>
      <c r="V284" s="10" t="s">
        <v>36</v>
      </c>
      <c r="W284" s="1" t="s">
        <v>144</v>
      </c>
      <c r="X284" s="14">
        <f t="shared" si="84"/>
        <v>27500</v>
      </c>
      <c r="Y284" s="14">
        <f t="shared" si="85"/>
        <v>25000</v>
      </c>
      <c r="Z284" s="2">
        <f t="shared" si="86"/>
        <v>0.90909090909090906</v>
      </c>
      <c r="AA284" s="19">
        <v>0</v>
      </c>
      <c r="AB284" s="1">
        <f t="shared" si="87"/>
        <v>-24999.999999999996</v>
      </c>
      <c r="AC284" s="22">
        <f t="shared" si="88"/>
        <v>1</v>
      </c>
      <c r="AD284" s="23">
        <f t="shared" si="89"/>
        <v>2500.0000000000036</v>
      </c>
    </row>
    <row r="285" spans="1:30" ht="21" customHeight="1">
      <c r="A285" s="26">
        <f t="shared" si="79"/>
        <v>285</v>
      </c>
      <c r="B285" s="43">
        <v>7</v>
      </c>
      <c r="C285" s="44">
        <v>9</v>
      </c>
      <c r="D285" s="10" t="s">
        <v>47</v>
      </c>
      <c r="E285" s="9" t="s">
        <v>110</v>
      </c>
      <c r="F285" s="10">
        <v>1</v>
      </c>
      <c r="G285" s="11">
        <f t="shared" si="80"/>
        <v>473000</v>
      </c>
      <c r="H285" s="31"/>
      <c r="I285" s="18"/>
      <c r="J285" s="95">
        <v>45848</v>
      </c>
      <c r="K285" s="90"/>
      <c r="L285" s="12">
        <v>45846</v>
      </c>
      <c r="M285" s="12">
        <v>45845</v>
      </c>
      <c r="N285" s="1" t="s">
        <v>551</v>
      </c>
      <c r="O285" s="1"/>
      <c r="P285" s="1"/>
      <c r="Q285" s="1">
        <v>430000</v>
      </c>
      <c r="R285" s="13">
        <f t="shared" si="81"/>
        <v>430000</v>
      </c>
      <c r="S285" s="1">
        <f t="shared" si="82"/>
        <v>43000</v>
      </c>
      <c r="T285" s="1">
        <v>0</v>
      </c>
      <c r="U285" s="1">
        <f t="shared" si="83"/>
        <v>0</v>
      </c>
      <c r="V285" s="10" t="s">
        <v>36</v>
      </c>
      <c r="W285" s="1" t="s">
        <v>235</v>
      </c>
      <c r="X285" s="14">
        <f t="shared" si="84"/>
        <v>252500</v>
      </c>
      <c r="Y285" s="14">
        <f t="shared" si="85"/>
        <v>209500</v>
      </c>
      <c r="Z285" s="2">
        <f t="shared" si="86"/>
        <v>0.44291754756871038</v>
      </c>
      <c r="AA285" s="19">
        <v>220500</v>
      </c>
      <c r="AB285" s="1">
        <f t="shared" si="87"/>
        <v>-229545.4545454545</v>
      </c>
      <c r="AC285" s="20">
        <f t="shared" si="88"/>
        <v>0.53382663847780121</v>
      </c>
      <c r="AD285" s="21">
        <f t="shared" si="89"/>
        <v>22954.5454545455</v>
      </c>
    </row>
    <row r="286" spans="1:30" ht="21" customHeight="1">
      <c r="A286" s="26">
        <f t="shared" si="79"/>
        <v>286</v>
      </c>
      <c r="B286" s="43">
        <v>7</v>
      </c>
      <c r="C286" s="44">
        <v>9</v>
      </c>
      <c r="D286" s="10" t="s">
        <v>47</v>
      </c>
      <c r="E286" s="9" t="s">
        <v>552</v>
      </c>
      <c r="F286" s="10">
        <v>4</v>
      </c>
      <c r="G286" s="11">
        <f t="shared" si="80"/>
        <v>52800</v>
      </c>
      <c r="H286" s="31"/>
      <c r="I286" s="33"/>
      <c r="J286" s="96"/>
      <c r="K286" s="90"/>
      <c r="L286" s="34"/>
      <c r="M286" s="34"/>
      <c r="N286" s="1" t="s">
        <v>45</v>
      </c>
      <c r="O286" s="1"/>
      <c r="P286" s="1" t="s">
        <v>35</v>
      </c>
      <c r="Q286" s="1">
        <v>12000</v>
      </c>
      <c r="R286" s="13">
        <f t="shared" si="81"/>
        <v>48000</v>
      </c>
      <c r="S286" s="1">
        <f t="shared" si="82"/>
        <v>4800</v>
      </c>
      <c r="T286" s="1">
        <v>0</v>
      </c>
      <c r="U286" s="1">
        <f t="shared" si="83"/>
        <v>0</v>
      </c>
      <c r="V286" s="10" t="s">
        <v>36</v>
      </c>
      <c r="W286" s="1" t="s">
        <v>474</v>
      </c>
      <c r="X286" s="14">
        <f t="shared" si="84"/>
        <v>22800</v>
      </c>
      <c r="Y286" s="14">
        <f t="shared" si="85"/>
        <v>18000</v>
      </c>
      <c r="Z286" s="2">
        <f t="shared" si="86"/>
        <v>0.34090909090909088</v>
      </c>
      <c r="AA286" s="19">
        <v>30000</v>
      </c>
      <c r="AB286" s="1">
        <f t="shared" si="87"/>
        <v>-20727.272727272721</v>
      </c>
      <c r="AC286" s="20">
        <f t="shared" si="88"/>
        <v>0.43181818181818177</v>
      </c>
      <c r="AD286" s="21">
        <f t="shared" si="89"/>
        <v>2072.7272727272793</v>
      </c>
    </row>
    <row r="287" spans="1:30" ht="21" customHeight="1">
      <c r="A287" s="26">
        <f t="shared" si="79"/>
        <v>287</v>
      </c>
      <c r="B287" s="43">
        <v>7</v>
      </c>
      <c r="C287" s="44">
        <v>16</v>
      </c>
      <c r="D287" s="10" t="s">
        <v>115</v>
      </c>
      <c r="E287" s="9" t="s">
        <v>553</v>
      </c>
      <c r="F287" s="10">
        <v>46</v>
      </c>
      <c r="G287" s="11">
        <f t="shared" si="80"/>
        <v>708400</v>
      </c>
      <c r="H287" s="31"/>
      <c r="I287" s="18"/>
      <c r="J287" s="95">
        <v>45868</v>
      </c>
      <c r="K287" s="90"/>
      <c r="L287" s="12">
        <v>45866</v>
      </c>
      <c r="M287" s="34"/>
      <c r="N287" s="1"/>
      <c r="O287" s="1"/>
      <c r="P287" s="1"/>
      <c r="Q287" s="1">
        <v>14000</v>
      </c>
      <c r="R287" s="13">
        <f t="shared" si="81"/>
        <v>644000</v>
      </c>
      <c r="S287" s="1">
        <f t="shared" si="82"/>
        <v>64400</v>
      </c>
      <c r="T287" s="1">
        <v>0</v>
      </c>
      <c r="U287" s="1">
        <f t="shared" si="83"/>
        <v>0</v>
      </c>
      <c r="V287" s="10" t="s">
        <v>36</v>
      </c>
      <c r="W287" s="1" t="s">
        <v>474</v>
      </c>
      <c r="X287" s="14">
        <f t="shared" si="84"/>
        <v>466400</v>
      </c>
      <c r="Y287" s="14">
        <f t="shared" si="85"/>
        <v>402000</v>
      </c>
      <c r="Z287" s="2">
        <f t="shared" si="86"/>
        <v>0.56747600225861095</v>
      </c>
      <c r="AA287" s="19">
        <v>242000</v>
      </c>
      <c r="AB287" s="1">
        <f t="shared" si="87"/>
        <v>-424000</v>
      </c>
      <c r="AC287" s="20">
        <f t="shared" si="88"/>
        <v>0.65838509316770188</v>
      </c>
      <c r="AD287" s="21">
        <f t="shared" si="89"/>
        <v>42399.999999999971</v>
      </c>
    </row>
    <row r="288" spans="1:30" ht="21" customHeight="1">
      <c r="A288" s="26">
        <f t="shared" si="79"/>
        <v>288</v>
      </c>
      <c r="B288" s="43">
        <v>7</v>
      </c>
      <c r="C288" s="44">
        <v>16</v>
      </c>
      <c r="D288" s="10" t="s">
        <v>554</v>
      </c>
      <c r="E288" s="9" t="s">
        <v>555</v>
      </c>
      <c r="F288" s="10">
        <v>4</v>
      </c>
      <c r="G288" s="11">
        <f t="shared" si="80"/>
        <v>44000</v>
      </c>
      <c r="H288" s="31"/>
      <c r="I288" s="33"/>
      <c r="J288" s="96"/>
      <c r="K288" s="90"/>
      <c r="L288" s="12">
        <v>45860</v>
      </c>
      <c r="M288" s="25" t="s">
        <v>57</v>
      </c>
      <c r="N288" s="1"/>
      <c r="O288" s="1"/>
      <c r="P288" s="1" t="s">
        <v>35</v>
      </c>
      <c r="Q288" s="1">
        <v>10000</v>
      </c>
      <c r="R288" s="13">
        <f t="shared" si="81"/>
        <v>40000</v>
      </c>
      <c r="S288" s="1">
        <f t="shared" si="82"/>
        <v>4000</v>
      </c>
      <c r="T288" s="1">
        <v>0</v>
      </c>
      <c r="U288" s="1">
        <f t="shared" si="83"/>
        <v>0</v>
      </c>
      <c r="V288" s="10" t="s">
        <v>36</v>
      </c>
      <c r="W288" s="1" t="s">
        <v>162</v>
      </c>
      <c r="X288" s="14">
        <f t="shared" si="84"/>
        <v>26000</v>
      </c>
      <c r="Y288" s="14">
        <f t="shared" si="85"/>
        <v>22000</v>
      </c>
      <c r="Z288" s="2">
        <f t="shared" si="86"/>
        <v>0.5</v>
      </c>
      <c r="AA288" s="19">
        <v>18000</v>
      </c>
      <c r="AB288" s="1">
        <f t="shared" si="87"/>
        <v>-23636.36363636364</v>
      </c>
      <c r="AC288" s="20">
        <f t="shared" si="88"/>
        <v>0.59090909090909094</v>
      </c>
      <c r="AD288" s="21">
        <f t="shared" si="89"/>
        <v>2363.6363636363621</v>
      </c>
    </row>
    <row r="289" spans="1:30" ht="21" customHeight="1">
      <c r="A289" s="26">
        <f t="shared" si="79"/>
        <v>289</v>
      </c>
      <c r="B289" s="43">
        <v>7</v>
      </c>
      <c r="C289" s="44">
        <v>16</v>
      </c>
      <c r="D289" s="10" t="s">
        <v>112</v>
      </c>
      <c r="E289" s="9" t="s">
        <v>556</v>
      </c>
      <c r="F289" s="10">
        <v>1</v>
      </c>
      <c r="G289" s="11">
        <f t="shared" si="80"/>
        <v>60500</v>
      </c>
      <c r="H289" s="31"/>
      <c r="I289" s="18"/>
      <c r="J289" s="95">
        <v>45861</v>
      </c>
      <c r="K289" s="90"/>
      <c r="L289" s="12">
        <v>45860</v>
      </c>
      <c r="M289" s="25" t="s">
        <v>57</v>
      </c>
      <c r="N289" s="1"/>
      <c r="O289" s="1"/>
      <c r="P289" s="1" t="s">
        <v>501</v>
      </c>
      <c r="Q289" s="1">
        <v>55000</v>
      </c>
      <c r="R289" s="13">
        <f t="shared" si="81"/>
        <v>55000</v>
      </c>
      <c r="S289" s="1">
        <f t="shared" si="82"/>
        <v>5500</v>
      </c>
      <c r="T289" s="1">
        <v>0</v>
      </c>
      <c r="U289" s="1">
        <f t="shared" si="83"/>
        <v>0</v>
      </c>
      <c r="V289" s="10" t="s">
        <v>36</v>
      </c>
      <c r="W289" s="1" t="s">
        <v>112</v>
      </c>
      <c r="X289" s="14">
        <f t="shared" si="84"/>
        <v>25500</v>
      </c>
      <c r="Y289" s="14">
        <f t="shared" si="85"/>
        <v>20000</v>
      </c>
      <c r="Z289" s="2">
        <f t="shared" si="86"/>
        <v>0.33057851239669422</v>
      </c>
      <c r="AA289" s="19">
        <v>35000</v>
      </c>
      <c r="AB289" s="1">
        <f t="shared" si="87"/>
        <v>-23181.818181818177</v>
      </c>
      <c r="AC289" s="20">
        <f t="shared" si="88"/>
        <v>0.42148760330578511</v>
      </c>
      <c r="AD289" s="21">
        <f t="shared" si="89"/>
        <v>2318.1818181818235</v>
      </c>
    </row>
    <row r="290" spans="1:30" ht="21" customHeight="1">
      <c r="A290" s="26">
        <f t="shared" si="79"/>
        <v>290</v>
      </c>
      <c r="B290" s="43">
        <v>7</v>
      </c>
      <c r="C290" s="44">
        <v>17</v>
      </c>
      <c r="D290" s="1" t="s">
        <v>70</v>
      </c>
      <c r="E290" s="9" t="s">
        <v>557</v>
      </c>
      <c r="F290" s="10">
        <v>1</v>
      </c>
      <c r="G290" s="11">
        <f t="shared" si="80"/>
        <v>60500</v>
      </c>
      <c r="H290" s="31"/>
      <c r="I290" s="12">
        <v>45874</v>
      </c>
      <c r="J290" s="96"/>
      <c r="K290" s="90"/>
      <c r="L290" s="12">
        <v>45860</v>
      </c>
      <c r="M290" s="12"/>
      <c r="N290" s="1" t="s">
        <v>42</v>
      </c>
      <c r="O290" s="1" t="s">
        <v>121</v>
      </c>
      <c r="P290" s="1" t="s">
        <v>82</v>
      </c>
      <c r="Q290" s="10">
        <v>25000</v>
      </c>
      <c r="R290" s="13">
        <f t="shared" si="81"/>
        <v>25000</v>
      </c>
      <c r="S290" s="1">
        <f t="shared" si="82"/>
        <v>2500</v>
      </c>
      <c r="T290" s="1">
        <v>30000</v>
      </c>
      <c r="U290" s="1">
        <f t="shared" si="83"/>
        <v>3000</v>
      </c>
      <c r="V290" s="10" t="s">
        <v>36</v>
      </c>
      <c r="W290" s="1" t="s">
        <v>144</v>
      </c>
      <c r="X290" s="14">
        <f t="shared" si="84"/>
        <v>18420</v>
      </c>
      <c r="Y290" s="14">
        <f t="shared" si="85"/>
        <v>15920</v>
      </c>
      <c r="Z290" s="2">
        <f t="shared" si="86"/>
        <v>0.26314049586776861</v>
      </c>
      <c r="AA290" s="19">
        <v>42080</v>
      </c>
      <c r="AB290" s="1">
        <f t="shared" si="87"/>
        <v>-16745.454545454544</v>
      </c>
      <c r="AC290" s="22">
        <f t="shared" si="88"/>
        <v>0.30446280991735541</v>
      </c>
      <c r="AD290" s="23">
        <f t="shared" si="89"/>
        <v>1674.5454545454559</v>
      </c>
    </row>
    <row r="291" spans="1:30" ht="21" customHeight="1">
      <c r="A291" s="26">
        <f t="shared" si="79"/>
        <v>291</v>
      </c>
      <c r="B291" s="43">
        <v>7</v>
      </c>
      <c r="C291" s="44">
        <v>17</v>
      </c>
      <c r="D291" s="1" t="s">
        <v>104</v>
      </c>
      <c r="E291" s="9" t="s">
        <v>558</v>
      </c>
      <c r="F291" s="10">
        <v>1</v>
      </c>
      <c r="G291" s="11">
        <f t="shared" si="80"/>
        <v>26400</v>
      </c>
      <c r="H291" s="31"/>
      <c r="I291" s="18"/>
      <c r="J291" s="95">
        <v>45856</v>
      </c>
      <c r="K291" s="90"/>
      <c r="L291" s="25" t="s">
        <v>57</v>
      </c>
      <c r="M291" s="25" t="s">
        <v>57</v>
      </c>
      <c r="N291" s="1" t="s">
        <v>38</v>
      </c>
      <c r="O291" s="1"/>
      <c r="P291" s="1" t="s">
        <v>559</v>
      </c>
      <c r="Q291" s="10">
        <v>24000</v>
      </c>
      <c r="R291" s="13">
        <f t="shared" si="81"/>
        <v>24000</v>
      </c>
      <c r="S291" s="1">
        <f t="shared" si="82"/>
        <v>2400</v>
      </c>
      <c r="T291" s="1">
        <v>0</v>
      </c>
      <c r="U291" s="1">
        <f t="shared" si="83"/>
        <v>0</v>
      </c>
      <c r="V291" s="10" t="s">
        <v>41</v>
      </c>
      <c r="W291" s="1" t="s">
        <v>104</v>
      </c>
      <c r="X291" s="14">
        <f t="shared" si="84"/>
        <v>13200</v>
      </c>
      <c r="Y291" s="14">
        <f t="shared" si="85"/>
        <v>10800</v>
      </c>
      <c r="Z291" s="2">
        <f t="shared" si="86"/>
        <v>0.40909090909090912</v>
      </c>
      <c r="AA291" s="19">
        <v>13200</v>
      </c>
      <c r="AB291" s="1">
        <f t="shared" si="87"/>
        <v>-11999.999999999998</v>
      </c>
      <c r="AC291" s="22">
        <f t="shared" si="88"/>
        <v>0.5</v>
      </c>
      <c r="AD291" s="23">
        <f t="shared" si="89"/>
        <v>1200.0000000000018</v>
      </c>
    </row>
    <row r="292" spans="1:30" ht="21" customHeight="1">
      <c r="A292" s="26">
        <f t="shared" si="79"/>
        <v>292</v>
      </c>
      <c r="B292" s="43">
        <v>7</v>
      </c>
      <c r="C292" s="44">
        <v>18</v>
      </c>
      <c r="D292" s="1" t="s">
        <v>47</v>
      </c>
      <c r="E292" s="9" t="s">
        <v>560</v>
      </c>
      <c r="F292" s="10">
        <v>1</v>
      </c>
      <c r="G292" s="11">
        <f t="shared" si="80"/>
        <v>13200</v>
      </c>
      <c r="H292" s="31"/>
      <c r="I292" s="18"/>
      <c r="J292" s="95">
        <v>45867</v>
      </c>
      <c r="K292" s="90"/>
      <c r="L292" s="12">
        <v>45860</v>
      </c>
      <c r="M292" s="12">
        <v>45860</v>
      </c>
      <c r="N292" s="1" t="s">
        <v>561</v>
      </c>
      <c r="O292" s="1" t="s">
        <v>562</v>
      </c>
      <c r="P292" s="1" t="s">
        <v>559</v>
      </c>
      <c r="Q292" s="10">
        <v>12000</v>
      </c>
      <c r="R292" s="13">
        <f t="shared" si="81"/>
        <v>12000</v>
      </c>
      <c r="S292" s="1">
        <f t="shared" si="82"/>
        <v>1200</v>
      </c>
      <c r="T292" s="1">
        <v>0</v>
      </c>
      <c r="U292" s="1">
        <f t="shared" si="83"/>
        <v>0</v>
      </c>
      <c r="V292" s="10" t="s">
        <v>561</v>
      </c>
      <c r="W292" s="1" t="s">
        <v>474</v>
      </c>
      <c r="X292" s="14">
        <f t="shared" si="84"/>
        <v>800</v>
      </c>
      <c r="Y292" s="14">
        <f t="shared" si="85"/>
        <v>-400</v>
      </c>
      <c r="Z292" s="2">
        <f t="shared" si="86"/>
        <v>-3.0303030303030304E-2</v>
      </c>
      <c r="AA292" s="19">
        <v>12400</v>
      </c>
      <c r="AB292" s="1">
        <f t="shared" si="87"/>
        <v>-727.27272727272612</v>
      </c>
      <c r="AC292" s="22">
        <f t="shared" si="88"/>
        <v>6.0606060606060518E-2</v>
      </c>
      <c r="AD292" s="23">
        <f t="shared" si="89"/>
        <v>72.727272727273885</v>
      </c>
    </row>
    <row r="293" spans="1:30" ht="21" customHeight="1">
      <c r="A293" s="26">
        <f t="shared" si="79"/>
        <v>293</v>
      </c>
      <c r="B293" s="43">
        <v>7</v>
      </c>
      <c r="C293" s="44">
        <v>18</v>
      </c>
      <c r="D293" s="1" t="s">
        <v>101</v>
      </c>
      <c r="E293" s="9" t="s">
        <v>563</v>
      </c>
      <c r="F293" s="10">
        <v>1</v>
      </c>
      <c r="G293" s="11">
        <f t="shared" si="80"/>
        <v>605000</v>
      </c>
      <c r="H293" s="31"/>
      <c r="I293" s="18"/>
      <c r="J293" s="95">
        <v>45851</v>
      </c>
      <c r="K293" s="90"/>
      <c r="L293" s="12">
        <v>45856</v>
      </c>
      <c r="M293" s="25" t="s">
        <v>57</v>
      </c>
      <c r="N293" s="1"/>
      <c r="O293" s="1"/>
      <c r="P293" s="1"/>
      <c r="Q293" s="10">
        <v>550000</v>
      </c>
      <c r="R293" s="13">
        <f t="shared" si="81"/>
        <v>550000</v>
      </c>
      <c r="S293" s="1">
        <f t="shared" si="82"/>
        <v>55000</v>
      </c>
      <c r="T293" s="1">
        <v>0</v>
      </c>
      <c r="U293" s="1">
        <f t="shared" si="83"/>
        <v>0</v>
      </c>
      <c r="V293" s="10" t="s">
        <v>50</v>
      </c>
      <c r="W293" s="1" t="s">
        <v>101</v>
      </c>
      <c r="X293" s="14">
        <f t="shared" si="84"/>
        <v>605000</v>
      </c>
      <c r="Y293" s="14">
        <f t="shared" si="85"/>
        <v>550000</v>
      </c>
      <c r="Z293" s="2">
        <f t="shared" si="86"/>
        <v>0.90909090909090906</v>
      </c>
      <c r="AA293" s="19">
        <v>0</v>
      </c>
      <c r="AB293" s="1">
        <f t="shared" si="87"/>
        <v>-550000</v>
      </c>
      <c r="AC293" s="22">
        <f t="shared" si="88"/>
        <v>1</v>
      </c>
      <c r="AD293" s="23">
        <f t="shared" si="89"/>
        <v>55000</v>
      </c>
    </row>
    <row r="294" spans="1:30" ht="21" customHeight="1">
      <c r="A294" s="26">
        <f t="shared" si="79"/>
        <v>294</v>
      </c>
      <c r="B294" s="43">
        <v>7</v>
      </c>
      <c r="C294" s="44">
        <v>22</v>
      </c>
      <c r="D294" s="1" t="s">
        <v>47</v>
      </c>
      <c r="E294" s="9" t="s">
        <v>148</v>
      </c>
      <c r="F294" s="10">
        <v>10</v>
      </c>
      <c r="G294" s="11">
        <f t="shared" si="80"/>
        <v>264000</v>
      </c>
      <c r="H294" s="31"/>
      <c r="I294" s="18"/>
      <c r="J294" s="95">
        <v>45867</v>
      </c>
      <c r="K294" s="90"/>
      <c r="L294" s="12">
        <v>45860</v>
      </c>
      <c r="M294" s="12">
        <v>45860</v>
      </c>
      <c r="N294" s="1" t="s">
        <v>38</v>
      </c>
      <c r="O294" s="1" t="s">
        <v>395</v>
      </c>
      <c r="P294" s="1" t="s">
        <v>396</v>
      </c>
      <c r="Q294" s="10">
        <v>24000</v>
      </c>
      <c r="R294" s="13">
        <f t="shared" si="81"/>
        <v>240000</v>
      </c>
      <c r="S294" s="1">
        <f t="shared" si="82"/>
        <v>24000</v>
      </c>
      <c r="T294" s="1">
        <v>0</v>
      </c>
      <c r="U294" s="1">
        <f t="shared" si="83"/>
        <v>0</v>
      </c>
      <c r="V294" s="10" t="s">
        <v>41</v>
      </c>
      <c r="W294" s="1" t="s">
        <v>474</v>
      </c>
      <c r="X294" s="14">
        <f t="shared" si="84"/>
        <v>66000</v>
      </c>
      <c r="Y294" s="14">
        <f t="shared" si="85"/>
        <v>42000</v>
      </c>
      <c r="Z294" s="2">
        <f t="shared" ref="Z294:Z303" si="90">X294/G294</f>
        <v>0.25</v>
      </c>
      <c r="AA294" s="19">
        <v>198000</v>
      </c>
      <c r="AB294" s="1">
        <f t="shared" si="87"/>
        <v>-59999.999999999971</v>
      </c>
      <c r="AC294" s="22">
        <f t="shared" si="88"/>
        <v>0.24999999999999992</v>
      </c>
      <c r="AD294" s="23">
        <f t="shared" si="89"/>
        <v>6000.0000000000291</v>
      </c>
    </row>
    <row r="295" spans="1:30" ht="21" customHeight="1">
      <c r="A295" s="26">
        <f t="shared" si="79"/>
        <v>295</v>
      </c>
      <c r="B295" s="43">
        <v>7</v>
      </c>
      <c r="C295" s="44">
        <v>22</v>
      </c>
      <c r="D295" s="1" t="s">
        <v>225</v>
      </c>
      <c r="E295" s="9" t="s">
        <v>564</v>
      </c>
      <c r="F295" s="10">
        <v>8</v>
      </c>
      <c r="G295" s="11">
        <f t="shared" si="80"/>
        <v>132000</v>
      </c>
      <c r="H295" s="31"/>
      <c r="I295" s="33"/>
      <c r="J295" s="96"/>
      <c r="K295" s="90"/>
      <c r="L295" s="12">
        <v>45866</v>
      </c>
      <c r="M295" s="12"/>
      <c r="N295" s="1" t="s">
        <v>38</v>
      </c>
      <c r="O295" s="1" t="s">
        <v>39</v>
      </c>
      <c r="P295" s="1" t="s">
        <v>194</v>
      </c>
      <c r="Q295" s="10">
        <v>15000</v>
      </c>
      <c r="R295" s="13">
        <f t="shared" si="81"/>
        <v>120000</v>
      </c>
      <c r="S295" s="1">
        <f t="shared" si="82"/>
        <v>12000</v>
      </c>
      <c r="T295" s="1">
        <v>0</v>
      </c>
      <c r="U295" s="1">
        <f t="shared" si="83"/>
        <v>0</v>
      </c>
      <c r="V295" s="10" t="s">
        <v>41</v>
      </c>
      <c r="W295" s="1" t="s">
        <v>186</v>
      </c>
      <c r="X295" s="14">
        <f t="shared" si="84"/>
        <v>67100</v>
      </c>
      <c r="Y295" s="14">
        <f t="shared" si="85"/>
        <v>55100</v>
      </c>
      <c r="Z295" s="2">
        <f t="shared" si="90"/>
        <v>0.5083333333333333</v>
      </c>
      <c r="AA295" s="19">
        <v>64900</v>
      </c>
      <c r="AB295" s="1">
        <f t="shared" si="87"/>
        <v>-60999.999999999993</v>
      </c>
      <c r="AC295" s="22">
        <f t="shared" si="88"/>
        <v>0.5083333333333333</v>
      </c>
      <c r="AD295" s="23">
        <f t="shared" si="89"/>
        <v>6100.0000000000073</v>
      </c>
    </row>
    <row r="296" spans="1:30" ht="21" customHeight="1">
      <c r="A296" s="26">
        <f t="shared" si="79"/>
        <v>296</v>
      </c>
      <c r="B296" s="43">
        <v>7</v>
      </c>
      <c r="C296" s="44">
        <v>28</v>
      </c>
      <c r="D296" s="1" t="s">
        <v>47</v>
      </c>
      <c r="E296" s="9" t="s">
        <v>565</v>
      </c>
      <c r="F296" s="10">
        <v>1</v>
      </c>
      <c r="G296" s="11">
        <f t="shared" si="80"/>
        <v>20900</v>
      </c>
      <c r="H296" s="31"/>
      <c r="I296" s="33"/>
      <c r="J296" s="96"/>
      <c r="K296" s="90"/>
      <c r="L296" s="12">
        <v>45868</v>
      </c>
      <c r="M296" s="12">
        <v>45868</v>
      </c>
      <c r="N296" s="1" t="s">
        <v>38</v>
      </c>
      <c r="O296" s="1" t="s">
        <v>39</v>
      </c>
      <c r="P296" s="1" t="s">
        <v>118</v>
      </c>
      <c r="Q296" s="10">
        <v>19000</v>
      </c>
      <c r="R296" s="13">
        <f t="shared" si="81"/>
        <v>19000</v>
      </c>
      <c r="S296" s="1">
        <f t="shared" si="82"/>
        <v>1900</v>
      </c>
      <c r="T296" s="1">
        <v>0</v>
      </c>
      <c r="U296" s="1">
        <f t="shared" si="83"/>
        <v>0</v>
      </c>
      <c r="V296" s="10" t="s">
        <v>41</v>
      </c>
      <c r="W296" s="1" t="s">
        <v>474</v>
      </c>
      <c r="X296" s="14">
        <f t="shared" si="84"/>
        <v>20900</v>
      </c>
      <c r="Y296" s="14">
        <f t="shared" si="85"/>
        <v>19000</v>
      </c>
      <c r="Z296" s="2">
        <f t="shared" si="90"/>
        <v>1</v>
      </c>
      <c r="AA296" s="19">
        <v>0</v>
      </c>
      <c r="AB296" s="1">
        <f t="shared" si="87"/>
        <v>-19000</v>
      </c>
      <c r="AC296" s="22">
        <f t="shared" si="88"/>
        <v>1</v>
      </c>
      <c r="AD296" s="23">
        <f t="shared" si="89"/>
        <v>1900</v>
      </c>
    </row>
    <row r="297" spans="1:30" ht="21" customHeight="1">
      <c r="A297" s="26">
        <f t="shared" si="79"/>
        <v>297</v>
      </c>
      <c r="B297" s="43">
        <v>7</v>
      </c>
      <c r="C297" s="44">
        <v>28</v>
      </c>
      <c r="D297" s="1" t="s">
        <v>47</v>
      </c>
      <c r="E297" s="9" t="s">
        <v>198</v>
      </c>
      <c r="F297" s="10">
        <v>1</v>
      </c>
      <c r="G297" s="11">
        <f t="shared" si="80"/>
        <v>13200</v>
      </c>
      <c r="H297" s="32"/>
      <c r="I297" s="33"/>
      <c r="J297" s="96"/>
      <c r="K297" s="90"/>
      <c r="L297" s="12">
        <v>45868</v>
      </c>
      <c r="M297" s="12">
        <v>45868</v>
      </c>
      <c r="N297" s="1" t="s">
        <v>45</v>
      </c>
      <c r="O297" s="1" t="s">
        <v>520</v>
      </c>
      <c r="P297" s="1" t="s">
        <v>35</v>
      </c>
      <c r="Q297" s="10">
        <v>12000</v>
      </c>
      <c r="R297" s="13">
        <f t="shared" si="81"/>
        <v>12000</v>
      </c>
      <c r="S297" s="1">
        <f t="shared" si="82"/>
        <v>1200</v>
      </c>
      <c r="T297" s="1">
        <v>0</v>
      </c>
      <c r="U297" s="1">
        <f t="shared" si="83"/>
        <v>0</v>
      </c>
      <c r="V297" s="10" t="s">
        <v>561</v>
      </c>
      <c r="W297" s="1" t="s">
        <v>474</v>
      </c>
      <c r="X297" s="14">
        <f t="shared" si="84"/>
        <v>13200</v>
      </c>
      <c r="Y297" s="14">
        <f t="shared" si="85"/>
        <v>12000</v>
      </c>
      <c r="Z297" s="2">
        <f t="shared" si="90"/>
        <v>1</v>
      </c>
      <c r="AA297" s="19">
        <v>0</v>
      </c>
      <c r="AB297" s="1">
        <f t="shared" si="87"/>
        <v>-11999.999999999998</v>
      </c>
      <c r="AC297" s="20">
        <f t="shared" si="88"/>
        <v>1</v>
      </c>
      <c r="AD297" s="21">
        <f t="shared" si="89"/>
        <v>1200.0000000000018</v>
      </c>
    </row>
    <row r="298" spans="1:30" ht="21" customHeight="1">
      <c r="A298" s="26">
        <f t="shared" si="79"/>
        <v>298</v>
      </c>
      <c r="B298" s="43">
        <v>7</v>
      </c>
      <c r="C298" s="44">
        <v>29</v>
      </c>
      <c r="D298" s="1" t="s">
        <v>225</v>
      </c>
      <c r="E298" s="9" t="s">
        <v>566</v>
      </c>
      <c r="F298" s="10">
        <v>2</v>
      </c>
      <c r="G298" s="11">
        <f t="shared" si="80"/>
        <v>72600</v>
      </c>
      <c r="H298" s="31"/>
      <c r="I298" s="33"/>
      <c r="J298" s="96"/>
      <c r="K298" s="90"/>
      <c r="L298" s="12">
        <v>45875</v>
      </c>
      <c r="M298" s="25" t="s">
        <v>57</v>
      </c>
      <c r="N298" s="1" t="s">
        <v>38</v>
      </c>
      <c r="O298" s="1" t="s">
        <v>39</v>
      </c>
      <c r="P298" s="1" t="s">
        <v>83</v>
      </c>
      <c r="Q298" s="10">
        <v>20000</v>
      </c>
      <c r="R298" s="13">
        <f t="shared" si="81"/>
        <v>40000</v>
      </c>
      <c r="S298" s="1">
        <f t="shared" si="82"/>
        <v>4000</v>
      </c>
      <c r="T298" s="1">
        <v>26000</v>
      </c>
      <c r="U298" s="1">
        <f t="shared" si="83"/>
        <v>2600</v>
      </c>
      <c r="V298" s="10" t="s">
        <v>490</v>
      </c>
      <c r="W298" s="1" t="s">
        <v>512</v>
      </c>
      <c r="X298" s="14">
        <f t="shared" si="84"/>
        <v>9900</v>
      </c>
      <c r="Y298" s="14">
        <f t="shared" si="85"/>
        <v>5900</v>
      </c>
      <c r="Z298" s="2">
        <f t="shared" si="90"/>
        <v>0.13636363636363635</v>
      </c>
      <c r="AA298" s="19">
        <v>62700</v>
      </c>
      <c r="AB298" s="1">
        <f t="shared" si="87"/>
        <v>-9000.0000000000073</v>
      </c>
      <c r="AC298" s="22">
        <f t="shared" si="88"/>
        <v>0.13636363636363646</v>
      </c>
      <c r="AD298" s="23">
        <f t="shared" si="89"/>
        <v>899.99999999999272</v>
      </c>
    </row>
    <row r="299" spans="1:30" ht="21" customHeight="1">
      <c r="A299" s="26">
        <f t="shared" si="79"/>
        <v>299</v>
      </c>
      <c r="B299" s="43">
        <v>7</v>
      </c>
      <c r="C299" s="44">
        <v>31</v>
      </c>
      <c r="D299" s="1" t="s">
        <v>47</v>
      </c>
      <c r="E299" s="9" t="s">
        <v>565</v>
      </c>
      <c r="F299" s="10">
        <v>1</v>
      </c>
      <c r="G299" s="11">
        <f t="shared" si="80"/>
        <v>42900</v>
      </c>
      <c r="H299" s="31"/>
      <c r="I299" s="33"/>
      <c r="J299" s="96"/>
      <c r="K299" s="90"/>
      <c r="L299" s="12">
        <v>45868</v>
      </c>
      <c r="M299" s="12">
        <v>45868</v>
      </c>
      <c r="N299" s="1" t="s">
        <v>38</v>
      </c>
      <c r="O299" s="1" t="s">
        <v>39</v>
      </c>
      <c r="P299" s="1" t="s">
        <v>118</v>
      </c>
      <c r="Q299" s="10">
        <v>19000</v>
      </c>
      <c r="R299" s="13">
        <f t="shared" si="81"/>
        <v>19000</v>
      </c>
      <c r="S299" s="1">
        <f t="shared" si="82"/>
        <v>1900</v>
      </c>
      <c r="T299" s="1">
        <v>20000</v>
      </c>
      <c r="U299" s="1">
        <f t="shared" si="83"/>
        <v>2000</v>
      </c>
      <c r="V299" s="10" t="s">
        <v>41</v>
      </c>
      <c r="W299" s="1" t="s">
        <v>474</v>
      </c>
      <c r="X299" s="14">
        <f t="shared" si="84"/>
        <v>42900</v>
      </c>
      <c r="Y299" s="14">
        <f t="shared" si="85"/>
        <v>41000</v>
      </c>
      <c r="Z299" s="2">
        <f t="shared" si="90"/>
        <v>1</v>
      </c>
      <c r="AA299" s="19">
        <v>0</v>
      </c>
      <c r="AB299" s="1">
        <f t="shared" si="87"/>
        <v>-39000</v>
      </c>
      <c r="AC299" s="22">
        <f t="shared" si="88"/>
        <v>1</v>
      </c>
      <c r="AD299" s="23">
        <f t="shared" si="89"/>
        <v>3900</v>
      </c>
    </row>
    <row r="300" spans="1:30" ht="21" customHeight="1">
      <c r="A300" s="26">
        <f t="shared" si="79"/>
        <v>300</v>
      </c>
      <c r="B300" s="43">
        <v>7</v>
      </c>
      <c r="C300" s="44">
        <v>31</v>
      </c>
      <c r="D300" s="1" t="s">
        <v>70</v>
      </c>
      <c r="E300" s="9" t="s">
        <v>567</v>
      </c>
      <c r="F300" s="10">
        <v>1</v>
      </c>
      <c r="G300" s="11">
        <f t="shared" si="80"/>
        <v>13200</v>
      </c>
      <c r="H300" s="31"/>
      <c r="I300" s="33"/>
      <c r="J300" s="96"/>
      <c r="K300" s="90"/>
      <c r="L300" s="12"/>
      <c r="M300" s="12"/>
      <c r="N300" s="1" t="s">
        <v>54</v>
      </c>
      <c r="O300" s="1"/>
      <c r="P300" s="1" t="s">
        <v>49</v>
      </c>
      <c r="Q300" s="10">
        <v>12000</v>
      </c>
      <c r="R300" s="13">
        <f t="shared" si="81"/>
        <v>12000</v>
      </c>
      <c r="S300" s="1">
        <f t="shared" si="82"/>
        <v>1200</v>
      </c>
      <c r="T300" s="1">
        <v>0</v>
      </c>
      <c r="U300" s="1">
        <f t="shared" si="83"/>
        <v>0</v>
      </c>
      <c r="V300" s="10" t="s">
        <v>50</v>
      </c>
      <c r="W300" s="1" t="s">
        <v>275</v>
      </c>
      <c r="X300" s="14">
        <f t="shared" si="84"/>
        <v>13200</v>
      </c>
      <c r="Y300" s="14">
        <f t="shared" si="85"/>
        <v>12000</v>
      </c>
      <c r="Z300" s="2">
        <f t="shared" si="90"/>
        <v>1</v>
      </c>
      <c r="AA300" s="19">
        <v>0</v>
      </c>
      <c r="AB300" s="1">
        <f t="shared" si="87"/>
        <v>-11999.999999999998</v>
      </c>
      <c r="AC300" s="22">
        <f t="shared" si="88"/>
        <v>1</v>
      </c>
      <c r="AD300" s="23">
        <f t="shared" si="89"/>
        <v>1200.0000000000018</v>
      </c>
    </row>
    <row r="301" spans="1:30" ht="21" customHeight="1">
      <c r="A301" s="26">
        <f t="shared" si="79"/>
        <v>301</v>
      </c>
      <c r="B301" s="43">
        <v>7</v>
      </c>
      <c r="C301" s="44">
        <v>31</v>
      </c>
      <c r="D301" s="1" t="s">
        <v>85</v>
      </c>
      <c r="E301" s="9" t="s">
        <v>568</v>
      </c>
      <c r="F301" s="10">
        <v>1</v>
      </c>
      <c r="G301" s="11">
        <f t="shared" si="80"/>
        <v>20900</v>
      </c>
      <c r="H301" s="31"/>
      <c r="I301" s="18"/>
      <c r="J301" s="97" t="s">
        <v>286</v>
      </c>
      <c r="K301" s="90"/>
      <c r="L301" s="25" t="s">
        <v>57</v>
      </c>
      <c r="M301" s="12">
        <v>45868</v>
      </c>
      <c r="N301" s="1" t="s">
        <v>38</v>
      </c>
      <c r="O301" s="1" t="s">
        <v>39</v>
      </c>
      <c r="P301" s="1" t="s">
        <v>141</v>
      </c>
      <c r="Q301" s="10">
        <v>19000</v>
      </c>
      <c r="R301" s="13">
        <f t="shared" si="81"/>
        <v>19000</v>
      </c>
      <c r="S301" s="1">
        <f t="shared" si="82"/>
        <v>1900</v>
      </c>
      <c r="T301" s="1">
        <v>0</v>
      </c>
      <c r="U301" s="1">
        <f t="shared" si="83"/>
        <v>0</v>
      </c>
      <c r="V301" s="10" t="s">
        <v>490</v>
      </c>
      <c r="W301" s="1" t="s">
        <v>103</v>
      </c>
      <c r="X301" s="14">
        <f t="shared" si="84"/>
        <v>9900</v>
      </c>
      <c r="Y301" s="14">
        <f t="shared" si="85"/>
        <v>8000</v>
      </c>
      <c r="Z301" s="2">
        <f t="shared" si="90"/>
        <v>0.47368421052631576</v>
      </c>
      <c r="AA301" s="19">
        <v>11000</v>
      </c>
      <c r="AB301" s="1">
        <f t="shared" si="87"/>
        <v>-9000</v>
      </c>
      <c r="AC301" s="22">
        <f t="shared" si="88"/>
        <v>0.47368421052631576</v>
      </c>
      <c r="AD301" s="23">
        <f t="shared" si="89"/>
        <v>900</v>
      </c>
    </row>
    <row r="302" spans="1:30" ht="21" customHeight="1">
      <c r="A302" s="26">
        <f t="shared" si="79"/>
        <v>302</v>
      </c>
      <c r="B302" s="43">
        <v>7</v>
      </c>
      <c r="C302" s="44">
        <v>31</v>
      </c>
      <c r="D302" s="1" t="s">
        <v>85</v>
      </c>
      <c r="E302" s="9" t="s">
        <v>569</v>
      </c>
      <c r="F302" s="10">
        <v>1</v>
      </c>
      <c r="G302" s="11">
        <f t="shared" si="80"/>
        <v>20900</v>
      </c>
      <c r="H302" s="31"/>
      <c r="I302" s="18"/>
      <c r="J302" s="97" t="s">
        <v>286</v>
      </c>
      <c r="K302" s="90"/>
      <c r="L302" s="25" t="s">
        <v>57</v>
      </c>
      <c r="M302" s="12">
        <v>45868</v>
      </c>
      <c r="N302" s="1" t="s">
        <v>38</v>
      </c>
      <c r="O302" s="1" t="s">
        <v>39</v>
      </c>
      <c r="P302" s="1" t="s">
        <v>247</v>
      </c>
      <c r="Q302" s="10">
        <v>19000</v>
      </c>
      <c r="R302" s="13">
        <f t="shared" si="81"/>
        <v>19000</v>
      </c>
      <c r="S302" s="1">
        <f t="shared" si="82"/>
        <v>1900</v>
      </c>
      <c r="T302" s="1">
        <v>0</v>
      </c>
      <c r="U302" s="1">
        <f t="shared" si="83"/>
        <v>0</v>
      </c>
      <c r="V302" s="10" t="s">
        <v>490</v>
      </c>
      <c r="W302" s="1" t="s">
        <v>103</v>
      </c>
      <c r="X302" s="14">
        <f t="shared" si="84"/>
        <v>9900</v>
      </c>
      <c r="Y302" s="14">
        <f t="shared" si="85"/>
        <v>8000</v>
      </c>
      <c r="Z302" s="2">
        <f t="shared" si="90"/>
        <v>0.47368421052631576</v>
      </c>
      <c r="AA302" s="19">
        <v>11000</v>
      </c>
      <c r="AB302" s="1">
        <f t="shared" si="87"/>
        <v>-9000</v>
      </c>
      <c r="AC302" s="22">
        <f t="shared" si="88"/>
        <v>0.47368421052631576</v>
      </c>
      <c r="AD302" s="23">
        <f t="shared" si="89"/>
        <v>900</v>
      </c>
    </row>
    <row r="303" spans="1:30" ht="21" customHeight="1">
      <c r="A303" s="26">
        <f t="shared" si="79"/>
        <v>303</v>
      </c>
      <c r="B303" s="43">
        <v>7</v>
      </c>
      <c r="C303" s="44">
        <v>31</v>
      </c>
      <c r="D303" s="1" t="s">
        <v>225</v>
      </c>
      <c r="E303" s="9" t="s">
        <v>566</v>
      </c>
      <c r="F303" s="10">
        <v>1</v>
      </c>
      <c r="G303" s="11">
        <f t="shared" si="80"/>
        <v>24200</v>
      </c>
      <c r="H303" s="31"/>
      <c r="I303" s="33"/>
      <c r="J303" s="96"/>
      <c r="K303" s="90"/>
      <c r="L303" s="12">
        <v>45875</v>
      </c>
      <c r="M303" s="25" t="s">
        <v>57</v>
      </c>
      <c r="N303" s="1" t="s">
        <v>38</v>
      </c>
      <c r="O303" s="1" t="s">
        <v>39</v>
      </c>
      <c r="P303" s="1" t="s">
        <v>219</v>
      </c>
      <c r="Q303" s="10">
        <v>18000</v>
      </c>
      <c r="R303" s="13">
        <f t="shared" si="81"/>
        <v>18000</v>
      </c>
      <c r="S303" s="1">
        <f t="shared" si="82"/>
        <v>1800</v>
      </c>
      <c r="T303" s="1">
        <v>4000</v>
      </c>
      <c r="U303" s="1">
        <f t="shared" si="83"/>
        <v>400</v>
      </c>
      <c r="V303" s="10" t="s">
        <v>490</v>
      </c>
      <c r="W303" s="1" t="s">
        <v>512</v>
      </c>
      <c r="X303" s="14">
        <f t="shared" si="84"/>
        <v>4500</v>
      </c>
      <c r="Y303" s="14">
        <f t="shared" si="85"/>
        <v>2700</v>
      </c>
      <c r="Z303" s="2">
        <f t="shared" si="90"/>
        <v>0.18595041322314049</v>
      </c>
      <c r="AA303" s="19">
        <v>19700</v>
      </c>
      <c r="AB303" s="1">
        <f t="shared" si="87"/>
        <v>-4090.9090909090919</v>
      </c>
      <c r="AC303" s="22">
        <f t="shared" si="88"/>
        <v>0.18595041322314054</v>
      </c>
      <c r="AD303" s="23">
        <f t="shared" si="89"/>
        <v>409.0909090909081</v>
      </c>
    </row>
    <row r="304" spans="1:30" ht="21" customHeight="1">
      <c r="A304" s="1"/>
      <c r="B304" s="1"/>
      <c r="C304" s="1"/>
      <c r="D304" s="1"/>
      <c r="E304" s="1"/>
      <c r="F304" s="1"/>
      <c r="G304" s="1"/>
      <c r="H304" s="1"/>
      <c r="I304" s="1"/>
      <c r="J304" s="96"/>
      <c r="K304" s="90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"/>
      <c r="AA304" s="1"/>
      <c r="AB304" s="1"/>
      <c r="AC304" s="1"/>
      <c r="AD304" s="1"/>
    </row>
    <row r="305" spans="1:30" ht="21" customHeight="1">
      <c r="A305" s="26">
        <f t="shared" ref="A305:A328" si="91">ROW()</f>
        <v>305</v>
      </c>
      <c r="B305" s="13">
        <v>8</v>
      </c>
      <c r="C305" s="38">
        <v>6</v>
      </c>
      <c r="D305" s="10" t="s">
        <v>47</v>
      </c>
      <c r="E305" s="9" t="s">
        <v>202</v>
      </c>
      <c r="F305" s="10">
        <v>100</v>
      </c>
      <c r="G305" s="11">
        <f t="shared" ref="G305:G328" si="92">R305+S305+T305+U305</f>
        <v>407000</v>
      </c>
      <c r="H305" s="31"/>
      <c r="I305" s="33"/>
      <c r="J305" s="96"/>
      <c r="K305" s="90"/>
      <c r="L305" s="12">
        <v>45875</v>
      </c>
      <c r="M305" s="12">
        <v>45875</v>
      </c>
      <c r="N305" s="1" t="s">
        <v>206</v>
      </c>
      <c r="O305" s="28" t="s">
        <v>207</v>
      </c>
      <c r="P305" s="1"/>
      <c r="Q305" s="10">
        <v>3700</v>
      </c>
      <c r="R305" s="13">
        <f t="shared" ref="R305:R328" si="93">Q305*F305</f>
        <v>370000</v>
      </c>
      <c r="S305" s="1">
        <f t="shared" ref="S305:S315" si="94">R305*0.1</f>
        <v>37000</v>
      </c>
      <c r="T305" s="1">
        <v>0</v>
      </c>
      <c r="U305" s="1">
        <f t="shared" ref="U305:U328" si="95">T305*0.1</f>
        <v>0</v>
      </c>
      <c r="V305" s="10" t="s">
        <v>203</v>
      </c>
      <c r="W305" s="1" t="s">
        <v>570</v>
      </c>
      <c r="X305" s="14">
        <f t="shared" ref="X305:X328" si="96">G305-AA305</f>
        <v>143000</v>
      </c>
      <c r="Y305" s="14">
        <f t="shared" ref="Y305:Y328" si="97">X305-S305</f>
        <v>106000</v>
      </c>
      <c r="Z305" s="2">
        <f t="shared" ref="Z305:Z306" si="98">Y305/G305</f>
        <v>0.26044226044226043</v>
      </c>
      <c r="AA305" s="19">
        <v>264000</v>
      </c>
      <c r="AB305" s="1">
        <f t="shared" ref="AB305:AB328" si="99">(AA305/1.1)-(G305/1.1)</f>
        <v>-129999.99999999997</v>
      </c>
      <c r="AC305" s="22">
        <f t="shared" ref="AC305:AC328" si="100">((G305/1.1) - (AA305/1.1)) / (G305/1.1) * 1</f>
        <v>0.35135135135135132</v>
      </c>
      <c r="AD305" s="23">
        <f t="shared" ref="AD305:AD328" si="101">(G305 - (G305 / 1.1)) - (AA305 - (AA305 / 1.1))</f>
        <v>13000.000000000029</v>
      </c>
    </row>
    <row r="306" spans="1:30" ht="21" customHeight="1">
      <c r="A306" s="26">
        <f t="shared" si="91"/>
        <v>306</v>
      </c>
      <c r="B306" s="13">
        <v>8</v>
      </c>
      <c r="C306" s="38">
        <v>6</v>
      </c>
      <c r="D306" s="10" t="s">
        <v>318</v>
      </c>
      <c r="E306" s="9" t="s">
        <v>268</v>
      </c>
      <c r="F306" s="10">
        <v>1</v>
      </c>
      <c r="G306" s="11">
        <f t="shared" si="92"/>
        <v>88000</v>
      </c>
      <c r="H306" s="31"/>
      <c r="I306" s="33"/>
      <c r="J306" s="96"/>
      <c r="K306" s="90"/>
      <c r="L306" s="12">
        <v>45875</v>
      </c>
      <c r="M306" s="12">
        <v>45875</v>
      </c>
      <c r="N306" s="1"/>
      <c r="O306" s="28"/>
      <c r="P306" s="1"/>
      <c r="Q306" s="10">
        <v>80000</v>
      </c>
      <c r="R306" s="13">
        <f t="shared" si="93"/>
        <v>80000</v>
      </c>
      <c r="S306" s="1">
        <f t="shared" si="94"/>
        <v>8000</v>
      </c>
      <c r="T306" s="1">
        <v>0</v>
      </c>
      <c r="U306" s="1">
        <f t="shared" si="95"/>
        <v>0</v>
      </c>
      <c r="V306" s="10" t="s">
        <v>50</v>
      </c>
      <c r="W306" s="1" t="s">
        <v>318</v>
      </c>
      <c r="X306" s="14">
        <f t="shared" si="96"/>
        <v>88000</v>
      </c>
      <c r="Y306" s="14">
        <f t="shared" si="97"/>
        <v>80000</v>
      </c>
      <c r="Z306" s="2">
        <f t="shared" si="98"/>
        <v>0.90909090909090906</v>
      </c>
      <c r="AA306" s="19">
        <v>0</v>
      </c>
      <c r="AB306" s="1">
        <f t="shared" si="99"/>
        <v>-80000</v>
      </c>
      <c r="AC306" s="22">
        <f t="shared" si="100"/>
        <v>1</v>
      </c>
      <c r="AD306" s="23">
        <f t="shared" si="101"/>
        <v>8000</v>
      </c>
    </row>
    <row r="307" spans="1:30" ht="21" customHeight="1">
      <c r="A307" s="26">
        <f t="shared" si="91"/>
        <v>307</v>
      </c>
      <c r="B307" s="13">
        <v>8</v>
      </c>
      <c r="C307" s="38">
        <v>7</v>
      </c>
      <c r="D307" s="1" t="s">
        <v>70</v>
      </c>
      <c r="E307" s="9" t="s">
        <v>571</v>
      </c>
      <c r="F307" s="10">
        <v>1</v>
      </c>
      <c r="G307" s="11">
        <f t="shared" si="92"/>
        <v>60500</v>
      </c>
      <c r="H307" s="31"/>
      <c r="I307" s="12"/>
      <c r="J307" s="96"/>
      <c r="K307" s="90"/>
      <c r="L307" s="12"/>
      <c r="M307" s="12"/>
      <c r="N307" s="1"/>
      <c r="O307" s="1"/>
      <c r="P307" s="1" t="s">
        <v>82</v>
      </c>
      <c r="Q307" s="10">
        <v>55000</v>
      </c>
      <c r="R307" s="13">
        <f t="shared" si="93"/>
        <v>55000</v>
      </c>
      <c r="S307" s="1">
        <f t="shared" si="94"/>
        <v>5500</v>
      </c>
      <c r="T307" s="1">
        <v>0</v>
      </c>
      <c r="U307" s="1">
        <f t="shared" si="95"/>
        <v>0</v>
      </c>
      <c r="V307" s="10" t="s">
        <v>84</v>
      </c>
      <c r="W307" s="1" t="s">
        <v>144</v>
      </c>
      <c r="X307" s="14">
        <f t="shared" si="96"/>
        <v>13600</v>
      </c>
      <c r="Y307" s="14">
        <f t="shared" si="97"/>
        <v>8100</v>
      </c>
      <c r="Z307" s="2">
        <f t="shared" ref="Z307:Z311" si="102">X307/G307</f>
        <v>0.22479338842975208</v>
      </c>
      <c r="AA307" s="19">
        <v>46900</v>
      </c>
      <c r="AB307" s="1">
        <f t="shared" si="99"/>
        <v>-12363.63636363636</v>
      </c>
      <c r="AC307" s="22">
        <f t="shared" si="100"/>
        <v>0.22479338842975202</v>
      </c>
      <c r="AD307" s="23">
        <f t="shared" si="101"/>
        <v>1236.3636363636397</v>
      </c>
    </row>
    <row r="308" spans="1:30" ht="21" customHeight="1">
      <c r="A308" s="26">
        <f t="shared" si="91"/>
        <v>308</v>
      </c>
      <c r="B308" s="13">
        <v>8</v>
      </c>
      <c r="C308" s="38">
        <v>8</v>
      </c>
      <c r="D308" s="1" t="s">
        <v>70</v>
      </c>
      <c r="E308" s="9" t="s">
        <v>572</v>
      </c>
      <c r="F308" s="10">
        <v>1</v>
      </c>
      <c r="G308" s="11">
        <f t="shared" si="92"/>
        <v>38500</v>
      </c>
      <c r="H308" s="31"/>
      <c r="I308" s="12">
        <v>45887</v>
      </c>
      <c r="J308" s="96"/>
      <c r="K308" s="90"/>
      <c r="L308" s="12">
        <v>45877</v>
      </c>
      <c r="M308" s="12">
        <v>45877</v>
      </c>
      <c r="N308" s="1"/>
      <c r="O308" s="1"/>
      <c r="P308" s="1" t="s">
        <v>547</v>
      </c>
      <c r="Q308" s="10">
        <v>35000</v>
      </c>
      <c r="R308" s="13">
        <f t="shared" si="93"/>
        <v>35000</v>
      </c>
      <c r="S308" s="1">
        <f t="shared" si="94"/>
        <v>3500</v>
      </c>
      <c r="T308" s="1">
        <v>0</v>
      </c>
      <c r="U308" s="1">
        <f t="shared" si="95"/>
        <v>0</v>
      </c>
      <c r="V308" s="10" t="s">
        <v>41</v>
      </c>
      <c r="W308" s="1" t="s">
        <v>144</v>
      </c>
      <c r="X308" s="14">
        <f t="shared" si="96"/>
        <v>22330</v>
      </c>
      <c r="Y308" s="14">
        <f t="shared" si="97"/>
        <v>18830</v>
      </c>
      <c r="Z308" s="2">
        <f t="shared" si="102"/>
        <v>0.57999999999999996</v>
      </c>
      <c r="AA308" s="19">
        <v>16170</v>
      </c>
      <c r="AB308" s="1">
        <f t="shared" si="99"/>
        <v>-20300</v>
      </c>
      <c r="AC308" s="22">
        <f t="shared" si="100"/>
        <v>0.57999999999999996</v>
      </c>
      <c r="AD308" s="23">
        <f t="shared" si="101"/>
        <v>2029.9999999999982</v>
      </c>
    </row>
    <row r="309" spans="1:30" ht="21" customHeight="1">
      <c r="A309" s="26">
        <f t="shared" si="91"/>
        <v>309</v>
      </c>
      <c r="B309" s="13">
        <v>8</v>
      </c>
      <c r="C309" s="38">
        <v>8</v>
      </c>
      <c r="D309" s="1" t="s">
        <v>70</v>
      </c>
      <c r="E309" s="9" t="s">
        <v>572</v>
      </c>
      <c r="F309" s="10">
        <v>1</v>
      </c>
      <c r="G309" s="11">
        <f t="shared" si="92"/>
        <v>31900</v>
      </c>
      <c r="H309" s="31"/>
      <c r="I309" s="12">
        <v>45887</v>
      </c>
      <c r="J309" s="96"/>
      <c r="K309" s="90"/>
      <c r="L309" s="12">
        <v>45877</v>
      </c>
      <c r="M309" s="12">
        <v>45877</v>
      </c>
      <c r="N309" s="1"/>
      <c r="O309" s="1"/>
      <c r="P309" s="1" t="s">
        <v>559</v>
      </c>
      <c r="Q309" s="10">
        <v>29000</v>
      </c>
      <c r="R309" s="13">
        <f t="shared" si="93"/>
        <v>29000</v>
      </c>
      <c r="S309" s="1">
        <f t="shared" si="94"/>
        <v>2900</v>
      </c>
      <c r="T309" s="1">
        <v>0</v>
      </c>
      <c r="U309" s="1">
        <f t="shared" si="95"/>
        <v>0</v>
      </c>
      <c r="V309" s="10" t="s">
        <v>41</v>
      </c>
      <c r="W309" s="1" t="s">
        <v>161</v>
      </c>
      <c r="X309" s="14">
        <f t="shared" si="96"/>
        <v>18700</v>
      </c>
      <c r="Y309" s="14">
        <f t="shared" si="97"/>
        <v>15800</v>
      </c>
      <c r="Z309" s="2">
        <f t="shared" si="102"/>
        <v>0.58620689655172409</v>
      </c>
      <c r="AA309" s="19">
        <v>13200</v>
      </c>
      <c r="AB309" s="1">
        <f t="shared" si="99"/>
        <v>-17000</v>
      </c>
      <c r="AC309" s="22">
        <f t="shared" si="100"/>
        <v>0.5862068965517242</v>
      </c>
      <c r="AD309" s="23">
        <f t="shared" si="101"/>
        <v>1700.0000000000018</v>
      </c>
    </row>
    <row r="310" spans="1:30" ht="21" customHeight="1">
      <c r="A310" s="26">
        <f t="shared" si="91"/>
        <v>310</v>
      </c>
      <c r="B310" s="13">
        <v>8</v>
      </c>
      <c r="C310" s="38">
        <v>8</v>
      </c>
      <c r="D310" s="1" t="s">
        <v>70</v>
      </c>
      <c r="E310" s="9" t="s">
        <v>572</v>
      </c>
      <c r="F310" s="10">
        <v>1</v>
      </c>
      <c r="G310" s="11">
        <f t="shared" si="92"/>
        <v>17600</v>
      </c>
      <c r="H310" s="31"/>
      <c r="I310" s="12">
        <v>45887</v>
      </c>
      <c r="J310" s="96"/>
      <c r="K310" s="90"/>
      <c r="L310" s="12">
        <v>45877</v>
      </c>
      <c r="M310" s="12">
        <v>45877</v>
      </c>
      <c r="N310" s="1"/>
      <c r="O310" s="1"/>
      <c r="P310" s="1" t="s">
        <v>83</v>
      </c>
      <c r="Q310" s="10">
        <v>16000</v>
      </c>
      <c r="R310" s="13">
        <f t="shared" si="93"/>
        <v>16000</v>
      </c>
      <c r="S310" s="1">
        <f t="shared" si="94"/>
        <v>1600</v>
      </c>
      <c r="T310" s="1">
        <v>0</v>
      </c>
      <c r="U310" s="1">
        <f t="shared" si="95"/>
        <v>0</v>
      </c>
      <c r="V310" s="10" t="s">
        <v>41</v>
      </c>
      <c r="W310" s="1" t="s">
        <v>161</v>
      </c>
      <c r="X310" s="14">
        <f t="shared" si="96"/>
        <v>9680</v>
      </c>
      <c r="Y310" s="14">
        <f t="shared" si="97"/>
        <v>8080</v>
      </c>
      <c r="Z310" s="2">
        <f t="shared" si="102"/>
        <v>0.55000000000000004</v>
      </c>
      <c r="AA310" s="19">
        <v>7920</v>
      </c>
      <c r="AB310" s="1">
        <f t="shared" si="99"/>
        <v>-8800</v>
      </c>
      <c r="AC310" s="22">
        <f t="shared" si="100"/>
        <v>0.55000000000000004</v>
      </c>
      <c r="AD310" s="23">
        <f t="shared" si="101"/>
        <v>880.00000000000091</v>
      </c>
    </row>
    <row r="311" spans="1:30" ht="21" customHeight="1">
      <c r="A311" s="26">
        <f t="shared" si="91"/>
        <v>311</v>
      </c>
      <c r="B311" s="13">
        <v>8</v>
      </c>
      <c r="C311" s="38">
        <v>8</v>
      </c>
      <c r="D311" s="1" t="s">
        <v>70</v>
      </c>
      <c r="E311" s="9" t="s">
        <v>572</v>
      </c>
      <c r="F311" s="10">
        <v>4</v>
      </c>
      <c r="G311" s="11">
        <f t="shared" si="92"/>
        <v>88000</v>
      </c>
      <c r="H311" s="31"/>
      <c r="I311" s="12">
        <v>45887</v>
      </c>
      <c r="J311" s="96"/>
      <c r="K311" s="90"/>
      <c r="L311" s="12">
        <v>45877</v>
      </c>
      <c r="M311" s="12">
        <v>45877</v>
      </c>
      <c r="N311" s="1"/>
      <c r="O311" s="1"/>
      <c r="P311" s="1" t="s">
        <v>573</v>
      </c>
      <c r="Q311" s="10">
        <v>20000</v>
      </c>
      <c r="R311" s="13">
        <f t="shared" si="93"/>
        <v>80000</v>
      </c>
      <c r="S311" s="1">
        <f t="shared" si="94"/>
        <v>8000</v>
      </c>
      <c r="T311" s="1">
        <v>0</v>
      </c>
      <c r="U311" s="1">
        <f t="shared" si="95"/>
        <v>0</v>
      </c>
      <c r="V311" s="10" t="s">
        <v>41</v>
      </c>
      <c r="W311" s="1" t="s">
        <v>161</v>
      </c>
      <c r="X311" s="14">
        <f t="shared" si="96"/>
        <v>57200</v>
      </c>
      <c r="Y311" s="14">
        <f t="shared" si="97"/>
        <v>49200</v>
      </c>
      <c r="Z311" s="2">
        <f t="shared" si="102"/>
        <v>0.65</v>
      </c>
      <c r="AA311" s="19">
        <v>30800</v>
      </c>
      <c r="AB311" s="1">
        <f t="shared" si="99"/>
        <v>-52000</v>
      </c>
      <c r="AC311" s="22">
        <f t="shared" si="100"/>
        <v>0.65</v>
      </c>
      <c r="AD311" s="23">
        <f t="shared" si="101"/>
        <v>5199.9999999999964</v>
      </c>
    </row>
    <row r="312" spans="1:30" ht="21" customHeight="1">
      <c r="A312" s="26">
        <f t="shared" si="91"/>
        <v>312</v>
      </c>
      <c r="B312" s="13">
        <v>8</v>
      </c>
      <c r="C312" s="38">
        <v>6</v>
      </c>
      <c r="D312" s="10" t="s">
        <v>47</v>
      </c>
      <c r="E312" s="9" t="s">
        <v>574</v>
      </c>
      <c r="F312" s="10">
        <v>1</v>
      </c>
      <c r="G312" s="11">
        <f t="shared" si="92"/>
        <v>22000</v>
      </c>
      <c r="H312" s="31"/>
      <c r="I312" s="33"/>
      <c r="J312" s="96"/>
      <c r="K312" s="90"/>
      <c r="L312" s="12">
        <v>45876</v>
      </c>
      <c r="M312" s="12">
        <v>45876</v>
      </c>
      <c r="N312" s="1" t="s">
        <v>42</v>
      </c>
      <c r="O312" s="28" t="s">
        <v>575</v>
      </c>
      <c r="P312" s="1" t="s">
        <v>119</v>
      </c>
      <c r="Q312" s="10">
        <v>20000</v>
      </c>
      <c r="R312" s="13">
        <f t="shared" si="93"/>
        <v>20000</v>
      </c>
      <c r="S312" s="1">
        <f t="shared" si="94"/>
        <v>2000</v>
      </c>
      <c r="T312" s="1">
        <v>0</v>
      </c>
      <c r="U312" s="1">
        <f t="shared" si="95"/>
        <v>0</v>
      </c>
      <c r="V312" s="10" t="s">
        <v>41</v>
      </c>
      <c r="W312" s="1" t="s">
        <v>454</v>
      </c>
      <c r="X312" s="14">
        <f t="shared" si="96"/>
        <v>8800</v>
      </c>
      <c r="Y312" s="14">
        <f t="shared" si="97"/>
        <v>6800</v>
      </c>
      <c r="Z312" s="2">
        <f t="shared" ref="Z312:Z313" si="103">Y312/G312</f>
        <v>0.30909090909090908</v>
      </c>
      <c r="AA312" s="19">
        <v>13200</v>
      </c>
      <c r="AB312" s="1">
        <f t="shared" si="99"/>
        <v>-8000.0000000000018</v>
      </c>
      <c r="AC312" s="22">
        <f t="shared" si="100"/>
        <v>0.40000000000000008</v>
      </c>
      <c r="AD312" s="23">
        <f t="shared" si="101"/>
        <v>799.99999999999818</v>
      </c>
    </row>
    <row r="313" spans="1:30" ht="21" customHeight="1">
      <c r="A313" s="26">
        <f t="shared" si="91"/>
        <v>313</v>
      </c>
      <c r="B313" s="13">
        <v>8</v>
      </c>
      <c r="C313" s="38">
        <v>6</v>
      </c>
      <c r="D313" s="10" t="s">
        <v>47</v>
      </c>
      <c r="E313" s="9" t="s">
        <v>576</v>
      </c>
      <c r="F313" s="10">
        <v>1</v>
      </c>
      <c r="G313" s="11">
        <f t="shared" si="92"/>
        <v>27500</v>
      </c>
      <c r="H313" s="31"/>
      <c r="I313" s="33"/>
      <c r="J313" s="96"/>
      <c r="K313" s="90"/>
      <c r="L313" s="12">
        <v>45876</v>
      </c>
      <c r="M313" s="12">
        <v>45876</v>
      </c>
      <c r="N313" s="1" t="s">
        <v>42</v>
      </c>
      <c r="O313" s="28" t="s">
        <v>577</v>
      </c>
      <c r="P313" s="1" t="s">
        <v>224</v>
      </c>
      <c r="Q313" s="10">
        <v>25000</v>
      </c>
      <c r="R313" s="13">
        <f t="shared" si="93"/>
        <v>25000</v>
      </c>
      <c r="S313" s="1">
        <f t="shared" si="94"/>
        <v>2500</v>
      </c>
      <c r="T313" s="1">
        <v>0</v>
      </c>
      <c r="U313" s="1">
        <f t="shared" si="95"/>
        <v>0</v>
      </c>
      <c r="V313" s="10" t="s">
        <v>41</v>
      </c>
      <c r="W313" s="1" t="s">
        <v>454</v>
      </c>
      <c r="X313" s="14">
        <f t="shared" si="96"/>
        <v>14300</v>
      </c>
      <c r="Y313" s="14">
        <f t="shared" si="97"/>
        <v>11800</v>
      </c>
      <c r="Z313" s="2">
        <f t="shared" si="103"/>
        <v>0.42909090909090908</v>
      </c>
      <c r="AA313" s="19">
        <v>13200</v>
      </c>
      <c r="AB313" s="1">
        <f t="shared" si="99"/>
        <v>-12999.999999999998</v>
      </c>
      <c r="AC313" s="22">
        <f t="shared" si="100"/>
        <v>0.52</v>
      </c>
      <c r="AD313" s="23">
        <f t="shared" si="101"/>
        <v>1300.0000000000018</v>
      </c>
    </row>
    <row r="314" spans="1:30" ht="21" customHeight="1">
      <c r="A314" s="26">
        <f t="shared" si="91"/>
        <v>314</v>
      </c>
      <c r="B314" s="13">
        <v>8</v>
      </c>
      <c r="C314" s="38">
        <v>7</v>
      </c>
      <c r="D314" s="1" t="s">
        <v>70</v>
      </c>
      <c r="E314" s="9" t="s">
        <v>578</v>
      </c>
      <c r="F314" s="10">
        <v>1</v>
      </c>
      <c r="G314" s="11">
        <f t="shared" si="92"/>
        <v>38500</v>
      </c>
      <c r="H314" s="31"/>
      <c r="I314" s="33"/>
      <c r="J314" s="96"/>
      <c r="K314" s="90"/>
      <c r="L314" s="12"/>
      <c r="M314" s="12"/>
      <c r="N314" s="1" t="s">
        <v>579</v>
      </c>
      <c r="O314" s="1" t="s">
        <v>580</v>
      </c>
      <c r="P314" s="1" t="s">
        <v>93</v>
      </c>
      <c r="Q314" s="10">
        <v>35000</v>
      </c>
      <c r="R314" s="13">
        <f t="shared" si="93"/>
        <v>35000</v>
      </c>
      <c r="S314" s="1">
        <f t="shared" si="94"/>
        <v>3500</v>
      </c>
      <c r="T314" s="1">
        <v>0</v>
      </c>
      <c r="U314" s="1">
        <f t="shared" si="95"/>
        <v>0</v>
      </c>
      <c r="V314" s="10" t="s">
        <v>41</v>
      </c>
      <c r="W314" s="1" t="s">
        <v>161</v>
      </c>
      <c r="X314" s="14">
        <f t="shared" si="96"/>
        <v>16500</v>
      </c>
      <c r="Y314" s="14">
        <f t="shared" si="97"/>
        <v>13000</v>
      </c>
      <c r="Z314" s="2">
        <f t="shared" ref="Z314:Z323" si="104">X314/G314</f>
        <v>0.42857142857142855</v>
      </c>
      <c r="AA314" s="19">
        <v>22000</v>
      </c>
      <c r="AB314" s="1">
        <f t="shared" si="99"/>
        <v>-15000</v>
      </c>
      <c r="AC314" s="22">
        <f t="shared" si="100"/>
        <v>0.42857142857142855</v>
      </c>
      <c r="AD314" s="23">
        <f t="shared" si="101"/>
        <v>1500</v>
      </c>
    </row>
    <row r="315" spans="1:30" ht="21" customHeight="1">
      <c r="A315" s="26">
        <f t="shared" si="91"/>
        <v>315</v>
      </c>
      <c r="B315" s="13">
        <v>8</v>
      </c>
      <c r="C315" s="38">
        <v>8</v>
      </c>
      <c r="D315" s="1" t="s">
        <v>47</v>
      </c>
      <c r="E315" s="9" t="s">
        <v>581</v>
      </c>
      <c r="F315" s="10">
        <v>1</v>
      </c>
      <c r="G315" s="11">
        <f t="shared" si="92"/>
        <v>13200</v>
      </c>
      <c r="H315" s="32"/>
      <c r="I315" s="33"/>
      <c r="J315" s="96"/>
      <c r="K315" s="90"/>
      <c r="L315" s="12">
        <v>45868</v>
      </c>
      <c r="M315" s="12">
        <v>45877</v>
      </c>
      <c r="N315" s="1" t="s">
        <v>45</v>
      </c>
      <c r="O315" s="1" t="s">
        <v>520</v>
      </c>
      <c r="P315" s="1" t="s">
        <v>35</v>
      </c>
      <c r="Q315" s="10">
        <v>12000</v>
      </c>
      <c r="R315" s="13">
        <f t="shared" si="93"/>
        <v>12000</v>
      </c>
      <c r="S315" s="1">
        <f t="shared" si="94"/>
        <v>1200</v>
      </c>
      <c r="T315" s="1">
        <v>0</v>
      </c>
      <c r="U315" s="1">
        <f t="shared" si="95"/>
        <v>0</v>
      </c>
      <c r="V315" s="10" t="s">
        <v>561</v>
      </c>
      <c r="W315" s="1" t="s">
        <v>474</v>
      </c>
      <c r="X315" s="14">
        <f t="shared" si="96"/>
        <v>550</v>
      </c>
      <c r="Y315" s="14">
        <f t="shared" si="97"/>
        <v>-650</v>
      </c>
      <c r="Z315" s="2">
        <f t="shared" si="104"/>
        <v>4.1666666666666664E-2</v>
      </c>
      <c r="AA315" s="19">
        <v>12650</v>
      </c>
      <c r="AB315" s="1">
        <f t="shared" si="99"/>
        <v>-500</v>
      </c>
      <c r="AC315" s="20">
        <f t="shared" si="100"/>
        <v>4.1666666666666671E-2</v>
      </c>
      <c r="AD315" s="21">
        <f t="shared" si="101"/>
        <v>50</v>
      </c>
    </row>
    <row r="316" spans="1:30" ht="21" customHeight="1">
      <c r="A316" s="26">
        <f t="shared" si="91"/>
        <v>316</v>
      </c>
      <c r="B316" s="13">
        <v>8</v>
      </c>
      <c r="C316" s="38">
        <v>8</v>
      </c>
      <c r="D316" s="1" t="s">
        <v>37</v>
      </c>
      <c r="E316" s="9" t="s">
        <v>105</v>
      </c>
      <c r="F316" s="10">
        <v>3</v>
      </c>
      <c r="G316" s="11">
        <f t="shared" si="92"/>
        <v>36000</v>
      </c>
      <c r="H316" s="32"/>
      <c r="I316" s="33"/>
      <c r="J316" s="96"/>
      <c r="K316" s="90"/>
      <c r="L316" s="1" t="s">
        <v>57</v>
      </c>
      <c r="M316" s="1" t="s">
        <v>57</v>
      </c>
      <c r="N316" s="1" t="s">
        <v>45</v>
      </c>
      <c r="O316" s="1"/>
      <c r="P316" s="1" t="s">
        <v>35</v>
      </c>
      <c r="Q316" s="10">
        <v>12000</v>
      </c>
      <c r="R316" s="13">
        <f t="shared" si="93"/>
        <v>36000</v>
      </c>
      <c r="S316" s="1">
        <v>0</v>
      </c>
      <c r="T316" s="1">
        <v>0</v>
      </c>
      <c r="U316" s="1">
        <f t="shared" si="95"/>
        <v>0</v>
      </c>
      <c r="V316" s="10" t="s">
        <v>36</v>
      </c>
      <c r="W316" s="1" t="s">
        <v>105</v>
      </c>
      <c r="X316" s="14">
        <f t="shared" si="96"/>
        <v>21400</v>
      </c>
      <c r="Y316" s="14">
        <f t="shared" si="97"/>
        <v>21400</v>
      </c>
      <c r="Z316" s="2">
        <f t="shared" si="104"/>
        <v>0.59444444444444444</v>
      </c>
      <c r="AA316" s="19">
        <v>14600</v>
      </c>
      <c r="AB316" s="1">
        <f t="shared" si="99"/>
        <v>-19454.545454545452</v>
      </c>
      <c r="AC316" s="20">
        <f t="shared" si="100"/>
        <v>0.59444444444444444</v>
      </c>
      <c r="AD316" s="21">
        <f t="shared" si="101"/>
        <v>1945.4545454545478</v>
      </c>
    </row>
    <row r="317" spans="1:30" ht="21" customHeight="1">
      <c r="A317" s="26">
        <f t="shared" si="91"/>
        <v>317</v>
      </c>
      <c r="B317" s="13">
        <v>8</v>
      </c>
      <c r="C317" s="38">
        <v>8</v>
      </c>
      <c r="D317" s="1" t="s">
        <v>582</v>
      </c>
      <c r="E317" s="9" t="s">
        <v>583</v>
      </c>
      <c r="F317" s="10">
        <v>1</v>
      </c>
      <c r="G317" s="11">
        <f t="shared" si="92"/>
        <v>22000</v>
      </c>
      <c r="H317" s="32"/>
      <c r="I317" s="33"/>
      <c r="J317" s="96"/>
      <c r="K317" s="90"/>
      <c r="L317" s="1" t="s">
        <v>57</v>
      </c>
      <c r="M317" s="1" t="s">
        <v>57</v>
      </c>
      <c r="N317" s="1" t="s">
        <v>113</v>
      </c>
      <c r="O317" s="1"/>
      <c r="P317" s="1" t="s">
        <v>35</v>
      </c>
      <c r="Q317" s="10">
        <v>20000</v>
      </c>
      <c r="R317" s="13">
        <f t="shared" si="93"/>
        <v>20000</v>
      </c>
      <c r="S317" s="1">
        <f t="shared" ref="S317:S328" si="105">R317*0.1</f>
        <v>2000</v>
      </c>
      <c r="T317" s="1">
        <v>0</v>
      </c>
      <c r="U317" s="1">
        <f t="shared" si="95"/>
        <v>0</v>
      </c>
      <c r="V317" s="10" t="s">
        <v>36</v>
      </c>
      <c r="W317" s="1" t="s">
        <v>584</v>
      </c>
      <c r="X317" s="14">
        <f t="shared" si="96"/>
        <v>17380</v>
      </c>
      <c r="Y317" s="14">
        <f t="shared" si="97"/>
        <v>15380</v>
      </c>
      <c r="Z317" s="2">
        <f t="shared" si="104"/>
        <v>0.79</v>
      </c>
      <c r="AA317" s="19">
        <v>4620</v>
      </c>
      <c r="AB317" s="1">
        <f t="shared" si="99"/>
        <v>-15800</v>
      </c>
      <c r="AC317" s="20">
        <f t="shared" si="100"/>
        <v>0.79</v>
      </c>
      <c r="AD317" s="21">
        <f t="shared" si="101"/>
        <v>1580</v>
      </c>
    </row>
    <row r="318" spans="1:30" ht="21" customHeight="1">
      <c r="A318" s="26">
        <f t="shared" si="91"/>
        <v>318</v>
      </c>
      <c r="B318" s="13">
        <v>8</v>
      </c>
      <c r="C318" s="38">
        <v>8</v>
      </c>
      <c r="D318" s="1" t="s">
        <v>582</v>
      </c>
      <c r="E318" s="9" t="s">
        <v>585</v>
      </c>
      <c r="F318" s="10">
        <v>1</v>
      </c>
      <c r="G318" s="11">
        <f t="shared" si="92"/>
        <v>33000</v>
      </c>
      <c r="H318" s="32"/>
      <c r="I318" s="33"/>
      <c r="J318" s="96"/>
      <c r="K318" s="90"/>
      <c r="L318" s="1" t="s">
        <v>57</v>
      </c>
      <c r="M318" s="1" t="s">
        <v>57</v>
      </c>
      <c r="N318" s="1" t="s">
        <v>586</v>
      </c>
      <c r="O318" s="1"/>
      <c r="P318" s="1" t="s">
        <v>587</v>
      </c>
      <c r="Q318" s="10">
        <v>30000</v>
      </c>
      <c r="R318" s="13">
        <f t="shared" si="93"/>
        <v>30000</v>
      </c>
      <c r="S318" s="1">
        <f t="shared" si="105"/>
        <v>3000</v>
      </c>
      <c r="T318" s="1">
        <v>0</v>
      </c>
      <c r="U318" s="1">
        <f t="shared" si="95"/>
        <v>0</v>
      </c>
      <c r="V318" s="10" t="s">
        <v>36</v>
      </c>
      <c r="W318" s="1" t="s">
        <v>584</v>
      </c>
      <c r="X318" s="14">
        <f t="shared" si="96"/>
        <v>18400</v>
      </c>
      <c r="Y318" s="14">
        <f t="shared" si="97"/>
        <v>15400</v>
      </c>
      <c r="Z318" s="2">
        <f t="shared" si="104"/>
        <v>0.55757575757575761</v>
      </c>
      <c r="AA318" s="19">
        <v>14600</v>
      </c>
      <c r="AB318" s="1">
        <f t="shared" si="99"/>
        <v>-16727.272727272724</v>
      </c>
      <c r="AC318" s="20">
        <f t="shared" si="100"/>
        <v>0.5575757575757575</v>
      </c>
      <c r="AD318" s="21">
        <f t="shared" si="101"/>
        <v>1672.7272727272757</v>
      </c>
    </row>
    <row r="319" spans="1:30" ht="21" customHeight="1">
      <c r="A319" s="26">
        <f t="shared" si="91"/>
        <v>319</v>
      </c>
      <c r="B319" s="13">
        <v>8</v>
      </c>
      <c r="C319" s="38">
        <v>13</v>
      </c>
      <c r="D319" s="1" t="s">
        <v>47</v>
      </c>
      <c r="E319" s="9" t="s">
        <v>43</v>
      </c>
      <c r="F319" s="10">
        <v>1</v>
      </c>
      <c r="G319" s="11">
        <f t="shared" si="92"/>
        <v>473000</v>
      </c>
      <c r="H319" s="32"/>
      <c r="I319" s="33"/>
      <c r="J319" s="96"/>
      <c r="K319" s="90"/>
      <c r="L319" s="12">
        <v>45882</v>
      </c>
      <c r="M319" s="12">
        <v>45882</v>
      </c>
      <c r="N319" s="1" t="s">
        <v>43</v>
      </c>
      <c r="O319" s="33"/>
      <c r="P319" s="1" t="s">
        <v>44</v>
      </c>
      <c r="Q319" s="10">
        <v>430000</v>
      </c>
      <c r="R319" s="13">
        <f t="shared" si="93"/>
        <v>430000</v>
      </c>
      <c r="S319" s="1">
        <f t="shared" si="105"/>
        <v>43000</v>
      </c>
      <c r="T319" s="1">
        <v>0</v>
      </c>
      <c r="U319" s="1">
        <f t="shared" si="95"/>
        <v>0</v>
      </c>
      <c r="V319" s="10" t="s">
        <v>46</v>
      </c>
      <c r="W319" s="1" t="s">
        <v>248</v>
      </c>
      <c r="X319" s="14">
        <f t="shared" si="96"/>
        <v>209000</v>
      </c>
      <c r="Y319" s="14">
        <f t="shared" si="97"/>
        <v>166000</v>
      </c>
      <c r="Z319" s="2">
        <f t="shared" si="104"/>
        <v>0.44186046511627908</v>
      </c>
      <c r="AA319" s="19">
        <v>264000</v>
      </c>
      <c r="AB319" s="1">
        <f t="shared" si="99"/>
        <v>-189999.99999999997</v>
      </c>
      <c r="AC319" s="20">
        <f t="shared" si="100"/>
        <v>0.44186046511627908</v>
      </c>
      <c r="AD319" s="21">
        <f t="shared" si="101"/>
        <v>19000.000000000029</v>
      </c>
    </row>
    <row r="320" spans="1:30" ht="21" customHeight="1">
      <c r="A320" s="26">
        <f t="shared" si="91"/>
        <v>320</v>
      </c>
      <c r="B320" s="13">
        <v>8</v>
      </c>
      <c r="C320" s="38">
        <v>26</v>
      </c>
      <c r="D320" s="1" t="s">
        <v>47</v>
      </c>
      <c r="E320" s="9" t="s">
        <v>588</v>
      </c>
      <c r="F320" s="10">
        <v>3</v>
      </c>
      <c r="G320" s="11">
        <f t="shared" si="92"/>
        <v>39600</v>
      </c>
      <c r="H320" s="32"/>
      <c r="I320" s="33"/>
      <c r="J320" s="96"/>
      <c r="K320" s="90"/>
      <c r="L320" s="12"/>
      <c r="M320" s="12"/>
      <c r="N320" s="1" t="s">
        <v>45</v>
      </c>
      <c r="O320" s="1" t="s">
        <v>520</v>
      </c>
      <c r="P320" s="1" t="s">
        <v>35</v>
      </c>
      <c r="Q320" s="10">
        <v>12000</v>
      </c>
      <c r="R320" s="13">
        <f t="shared" si="93"/>
        <v>36000</v>
      </c>
      <c r="S320" s="1">
        <f t="shared" si="105"/>
        <v>3600</v>
      </c>
      <c r="T320" s="1">
        <v>0</v>
      </c>
      <c r="U320" s="1">
        <f t="shared" si="95"/>
        <v>0</v>
      </c>
      <c r="V320" s="10" t="s">
        <v>561</v>
      </c>
      <c r="W320" s="1" t="s">
        <v>474</v>
      </c>
      <c r="X320" s="14">
        <f t="shared" si="96"/>
        <v>27200</v>
      </c>
      <c r="Y320" s="14">
        <f t="shared" si="97"/>
        <v>23600</v>
      </c>
      <c r="Z320" s="2">
        <f t="shared" si="104"/>
        <v>0.68686868686868685</v>
      </c>
      <c r="AA320" s="19">
        <v>12400</v>
      </c>
      <c r="AB320" s="1">
        <f t="shared" si="99"/>
        <v>-24727.272727272728</v>
      </c>
      <c r="AC320" s="20">
        <f t="shared" si="100"/>
        <v>0.68686868686868685</v>
      </c>
      <c r="AD320" s="21">
        <f t="shared" si="101"/>
        <v>2472.7272727272721</v>
      </c>
    </row>
    <row r="321" spans="1:30" ht="21" customHeight="1">
      <c r="A321" s="26">
        <f t="shared" si="91"/>
        <v>321</v>
      </c>
      <c r="B321" s="13">
        <v>8</v>
      </c>
      <c r="C321" s="38">
        <v>26</v>
      </c>
      <c r="D321" s="1" t="s">
        <v>47</v>
      </c>
      <c r="E321" s="9" t="s">
        <v>589</v>
      </c>
      <c r="F321" s="10">
        <v>1</v>
      </c>
      <c r="G321" s="11">
        <f t="shared" si="92"/>
        <v>15400</v>
      </c>
      <c r="H321" s="32"/>
      <c r="I321" s="33"/>
      <c r="J321" s="96"/>
      <c r="K321" s="90"/>
      <c r="L321" s="12"/>
      <c r="M321" s="12"/>
      <c r="N321" s="1" t="s">
        <v>48</v>
      </c>
      <c r="O321" s="1"/>
      <c r="P321" s="1" t="s">
        <v>49</v>
      </c>
      <c r="Q321" s="10">
        <v>14000</v>
      </c>
      <c r="R321" s="13">
        <f t="shared" si="93"/>
        <v>14000</v>
      </c>
      <c r="S321" s="1">
        <f t="shared" si="105"/>
        <v>1400</v>
      </c>
      <c r="T321" s="1">
        <v>0</v>
      </c>
      <c r="U321" s="1">
        <f t="shared" si="95"/>
        <v>0</v>
      </c>
      <c r="V321" s="10" t="s">
        <v>50</v>
      </c>
      <c r="W321" s="1" t="s">
        <v>474</v>
      </c>
      <c r="X321" s="14">
        <f t="shared" si="96"/>
        <v>3000</v>
      </c>
      <c r="Y321" s="14">
        <f t="shared" si="97"/>
        <v>1600</v>
      </c>
      <c r="Z321" s="2">
        <f t="shared" si="104"/>
        <v>0.19480519480519481</v>
      </c>
      <c r="AA321" s="19">
        <v>12400</v>
      </c>
      <c r="AB321" s="1">
        <f t="shared" si="99"/>
        <v>-2727.2727272727261</v>
      </c>
      <c r="AC321" s="20">
        <f t="shared" si="100"/>
        <v>0.19480519480519476</v>
      </c>
      <c r="AD321" s="21">
        <f t="shared" si="101"/>
        <v>272.72727272727388</v>
      </c>
    </row>
    <row r="322" spans="1:30" ht="21" customHeight="1">
      <c r="A322" s="26">
        <f t="shared" si="91"/>
        <v>322</v>
      </c>
      <c r="B322" s="13">
        <v>8</v>
      </c>
      <c r="C322" s="38">
        <v>26</v>
      </c>
      <c r="D322" s="1" t="s">
        <v>70</v>
      </c>
      <c r="E322" s="9" t="s">
        <v>181</v>
      </c>
      <c r="F322" s="10">
        <v>1</v>
      </c>
      <c r="G322" s="11">
        <f t="shared" si="92"/>
        <v>198000</v>
      </c>
      <c r="H322" s="32"/>
      <c r="I322" s="12">
        <v>45926</v>
      </c>
      <c r="J322" s="96"/>
      <c r="K322" s="90"/>
      <c r="L322" s="12">
        <v>45918</v>
      </c>
      <c r="M322" s="12">
        <v>45918</v>
      </c>
      <c r="N322" s="1" t="s">
        <v>590</v>
      </c>
      <c r="O322" s="1"/>
      <c r="P322" s="1" t="s">
        <v>120</v>
      </c>
      <c r="Q322" s="10">
        <v>180000</v>
      </c>
      <c r="R322" s="13">
        <f t="shared" si="93"/>
        <v>180000</v>
      </c>
      <c r="S322" s="1">
        <f t="shared" si="105"/>
        <v>18000</v>
      </c>
      <c r="T322" s="1">
        <v>0</v>
      </c>
      <c r="U322" s="1">
        <f t="shared" si="95"/>
        <v>0</v>
      </c>
      <c r="V322" s="10" t="s">
        <v>36</v>
      </c>
      <c r="W322" s="1" t="s">
        <v>208</v>
      </c>
      <c r="X322" s="14">
        <f t="shared" si="96"/>
        <v>85300</v>
      </c>
      <c r="Y322" s="14">
        <f t="shared" si="97"/>
        <v>67300</v>
      </c>
      <c r="Z322" s="2">
        <f t="shared" si="104"/>
        <v>0.43080808080808081</v>
      </c>
      <c r="AA322" s="19">
        <v>112700</v>
      </c>
      <c r="AB322" s="1">
        <f t="shared" si="99"/>
        <v>-77545.454545454559</v>
      </c>
      <c r="AC322" s="20">
        <f t="shared" si="100"/>
        <v>0.43080808080808086</v>
      </c>
      <c r="AD322" s="21">
        <f t="shared" si="101"/>
        <v>7754.5454545454413</v>
      </c>
    </row>
    <row r="323" spans="1:30" ht="21" customHeight="1">
      <c r="A323" s="26">
        <f t="shared" si="91"/>
        <v>323</v>
      </c>
      <c r="B323" s="13">
        <v>8</v>
      </c>
      <c r="C323" s="38">
        <v>26</v>
      </c>
      <c r="D323" s="1" t="s">
        <v>70</v>
      </c>
      <c r="E323" s="9" t="s">
        <v>591</v>
      </c>
      <c r="F323" s="10">
        <v>1</v>
      </c>
      <c r="G323" s="11">
        <f t="shared" si="92"/>
        <v>93500</v>
      </c>
      <c r="H323" s="32"/>
      <c r="I323" s="12">
        <v>45926</v>
      </c>
      <c r="J323" s="96"/>
      <c r="K323" s="90"/>
      <c r="L323" s="12">
        <v>45918</v>
      </c>
      <c r="M323" s="12">
        <v>45918</v>
      </c>
      <c r="N323" s="1" t="s">
        <v>590</v>
      </c>
      <c r="O323" s="1"/>
      <c r="P323" s="1" t="s">
        <v>592</v>
      </c>
      <c r="Q323" s="10">
        <v>85000</v>
      </c>
      <c r="R323" s="13">
        <f t="shared" si="93"/>
        <v>85000</v>
      </c>
      <c r="S323" s="1">
        <f t="shared" si="105"/>
        <v>8500</v>
      </c>
      <c r="T323" s="1">
        <v>0</v>
      </c>
      <c r="U323" s="1">
        <f t="shared" si="95"/>
        <v>0</v>
      </c>
      <c r="V323" s="10" t="s">
        <v>36</v>
      </c>
      <c r="W323" s="1" t="s">
        <v>208</v>
      </c>
      <c r="X323" s="14">
        <f t="shared" si="96"/>
        <v>44300</v>
      </c>
      <c r="Y323" s="14">
        <f t="shared" si="97"/>
        <v>35800</v>
      </c>
      <c r="Z323" s="2">
        <f t="shared" si="104"/>
        <v>0.47379679144385028</v>
      </c>
      <c r="AA323" s="19">
        <v>49200</v>
      </c>
      <c r="AB323" s="1">
        <f t="shared" si="99"/>
        <v>-40272.727272727279</v>
      </c>
      <c r="AC323" s="20">
        <f t="shared" si="100"/>
        <v>0.47379679144385034</v>
      </c>
      <c r="AD323" s="21">
        <f t="shared" si="101"/>
        <v>4027.2727272727207</v>
      </c>
    </row>
    <row r="324" spans="1:30" ht="21" customHeight="1">
      <c r="A324" s="7">
        <f t="shared" si="91"/>
        <v>324</v>
      </c>
      <c r="B324" s="13">
        <v>8</v>
      </c>
      <c r="C324" s="38">
        <v>26</v>
      </c>
      <c r="D324" s="37" t="s">
        <v>70</v>
      </c>
      <c r="E324" s="24" t="s">
        <v>593</v>
      </c>
      <c r="F324" s="10">
        <v>9</v>
      </c>
      <c r="G324" s="11">
        <f t="shared" si="92"/>
        <v>326700</v>
      </c>
      <c r="H324" s="31"/>
      <c r="I324" s="12">
        <v>45926</v>
      </c>
      <c r="J324" s="96"/>
      <c r="K324" s="90"/>
      <c r="L324" s="12">
        <v>45918</v>
      </c>
      <c r="M324" s="12">
        <v>45918</v>
      </c>
      <c r="N324" s="1" t="s">
        <v>173</v>
      </c>
      <c r="O324" s="1" t="s">
        <v>53</v>
      </c>
      <c r="P324" s="1" t="s">
        <v>35</v>
      </c>
      <c r="Q324" s="10">
        <v>33000</v>
      </c>
      <c r="R324" s="13">
        <f t="shared" si="93"/>
        <v>297000</v>
      </c>
      <c r="S324" s="1">
        <f t="shared" si="105"/>
        <v>29700</v>
      </c>
      <c r="T324" s="1">
        <v>0</v>
      </c>
      <c r="U324" s="1">
        <f t="shared" si="95"/>
        <v>0</v>
      </c>
      <c r="V324" s="10" t="s">
        <v>36</v>
      </c>
      <c r="W324" s="1" t="s">
        <v>208</v>
      </c>
      <c r="X324" s="14">
        <f t="shared" si="96"/>
        <v>116790</v>
      </c>
      <c r="Y324" s="14">
        <f t="shared" si="97"/>
        <v>87090</v>
      </c>
      <c r="Z324" s="2">
        <f t="shared" ref="Z324:Z328" si="106">Y324/G324</f>
        <v>0.26657483930211201</v>
      </c>
      <c r="AA324" s="19">
        <v>209910</v>
      </c>
      <c r="AB324" s="1">
        <f t="shared" si="99"/>
        <v>-106172.72727272729</v>
      </c>
      <c r="AC324" s="22">
        <f t="shared" si="100"/>
        <v>0.357483930211203</v>
      </c>
      <c r="AD324" s="23">
        <f t="shared" si="101"/>
        <v>10617.272727272706</v>
      </c>
    </row>
    <row r="325" spans="1:30" ht="21" customHeight="1">
      <c r="A325" s="7">
        <f t="shared" si="91"/>
        <v>325</v>
      </c>
      <c r="B325" s="13">
        <v>8</v>
      </c>
      <c r="C325" s="38">
        <v>26</v>
      </c>
      <c r="D325" s="37" t="s">
        <v>47</v>
      </c>
      <c r="E325" s="24" t="s">
        <v>594</v>
      </c>
      <c r="F325" s="10">
        <v>1</v>
      </c>
      <c r="G325" s="11">
        <f t="shared" si="92"/>
        <v>15400</v>
      </c>
      <c r="H325" s="31"/>
      <c r="I325" s="33"/>
      <c r="J325" s="96"/>
      <c r="K325" s="90"/>
      <c r="L325" s="12">
        <v>45896</v>
      </c>
      <c r="M325" s="12">
        <v>45896</v>
      </c>
      <c r="N325" s="1" t="s">
        <v>48</v>
      </c>
      <c r="O325" s="1"/>
      <c r="P325" s="1" t="s">
        <v>35</v>
      </c>
      <c r="Q325" s="10">
        <v>14000</v>
      </c>
      <c r="R325" s="13">
        <f t="shared" si="93"/>
        <v>14000</v>
      </c>
      <c r="S325" s="1">
        <f t="shared" si="105"/>
        <v>1400</v>
      </c>
      <c r="T325" s="1">
        <v>0</v>
      </c>
      <c r="U325" s="1">
        <f t="shared" si="95"/>
        <v>0</v>
      </c>
      <c r="V325" s="10" t="s">
        <v>50</v>
      </c>
      <c r="W325" s="1" t="s">
        <v>379</v>
      </c>
      <c r="X325" s="14">
        <f t="shared" si="96"/>
        <v>5400</v>
      </c>
      <c r="Y325" s="14">
        <f t="shared" si="97"/>
        <v>4000</v>
      </c>
      <c r="Z325" s="2">
        <f t="shared" si="106"/>
        <v>0.25974025974025972</v>
      </c>
      <c r="AA325" s="19">
        <v>10000</v>
      </c>
      <c r="AB325" s="1">
        <f t="shared" si="99"/>
        <v>-4909.0909090909081</v>
      </c>
      <c r="AC325" s="22">
        <f t="shared" si="100"/>
        <v>0.3506493506493506</v>
      </c>
      <c r="AD325" s="23">
        <f t="shared" si="101"/>
        <v>490.9090909090919</v>
      </c>
    </row>
    <row r="326" spans="1:30" ht="21" customHeight="1">
      <c r="A326" s="7">
        <f t="shared" si="91"/>
        <v>326</v>
      </c>
      <c r="B326" s="13">
        <v>8</v>
      </c>
      <c r="C326" s="38">
        <v>26</v>
      </c>
      <c r="D326" s="37" t="s">
        <v>47</v>
      </c>
      <c r="E326" s="24" t="s">
        <v>595</v>
      </c>
      <c r="F326" s="10">
        <v>5</v>
      </c>
      <c r="G326" s="11">
        <f t="shared" si="92"/>
        <v>132000</v>
      </c>
      <c r="H326" s="32"/>
      <c r="I326" s="33"/>
      <c r="J326" s="96"/>
      <c r="K326" s="90"/>
      <c r="L326" s="12">
        <v>45896</v>
      </c>
      <c r="M326" s="12">
        <v>45896</v>
      </c>
      <c r="N326" s="1" t="s">
        <v>148</v>
      </c>
      <c r="O326" s="1"/>
      <c r="P326" s="1" t="s">
        <v>94</v>
      </c>
      <c r="Q326" s="10">
        <v>24000</v>
      </c>
      <c r="R326" s="13">
        <f t="shared" si="93"/>
        <v>120000</v>
      </c>
      <c r="S326" s="1">
        <f t="shared" si="105"/>
        <v>12000</v>
      </c>
      <c r="T326" s="1">
        <v>0</v>
      </c>
      <c r="U326" s="1">
        <f t="shared" si="95"/>
        <v>0</v>
      </c>
      <c r="V326" s="10" t="s">
        <v>41</v>
      </c>
      <c r="W326" s="1" t="s">
        <v>379</v>
      </c>
      <c r="X326" s="14">
        <f t="shared" si="96"/>
        <v>51150</v>
      </c>
      <c r="Y326" s="14">
        <f t="shared" si="97"/>
        <v>39150</v>
      </c>
      <c r="Z326" s="2">
        <f t="shared" si="106"/>
        <v>0.29659090909090907</v>
      </c>
      <c r="AA326" s="19">
        <v>80850</v>
      </c>
      <c r="AB326" s="1">
        <f t="shared" si="99"/>
        <v>-46499.999999999985</v>
      </c>
      <c r="AC326" s="22">
        <f t="shared" si="100"/>
        <v>0.3874999999999999</v>
      </c>
      <c r="AD326" s="23">
        <f t="shared" si="101"/>
        <v>4650.0000000000146</v>
      </c>
    </row>
    <row r="327" spans="1:30" ht="21" customHeight="1">
      <c r="A327" s="7">
        <f t="shared" si="91"/>
        <v>327</v>
      </c>
      <c r="B327" s="13">
        <v>8</v>
      </c>
      <c r="C327" s="38">
        <v>26</v>
      </c>
      <c r="D327" s="37" t="s">
        <v>47</v>
      </c>
      <c r="E327" s="24" t="s">
        <v>595</v>
      </c>
      <c r="F327" s="10">
        <v>2</v>
      </c>
      <c r="G327" s="11">
        <f t="shared" si="92"/>
        <v>59400</v>
      </c>
      <c r="H327" s="32"/>
      <c r="I327" s="33"/>
      <c r="J327" s="96"/>
      <c r="K327" s="90"/>
      <c r="L327" s="12">
        <v>45897</v>
      </c>
      <c r="M327" s="12">
        <v>45897</v>
      </c>
      <c r="N327" s="1" t="s">
        <v>148</v>
      </c>
      <c r="O327" s="1"/>
      <c r="P327" s="1" t="s">
        <v>94</v>
      </c>
      <c r="Q327" s="10">
        <v>24000</v>
      </c>
      <c r="R327" s="13">
        <f t="shared" si="93"/>
        <v>48000</v>
      </c>
      <c r="S327" s="1">
        <f t="shared" si="105"/>
        <v>4800</v>
      </c>
      <c r="T327" s="1">
        <v>6000</v>
      </c>
      <c r="U327" s="1">
        <f t="shared" si="95"/>
        <v>600</v>
      </c>
      <c r="V327" s="10" t="s">
        <v>41</v>
      </c>
      <c r="W327" s="1" t="s">
        <v>180</v>
      </c>
      <c r="X327" s="14">
        <f t="shared" si="96"/>
        <v>28380</v>
      </c>
      <c r="Y327" s="14">
        <f t="shared" si="97"/>
        <v>23580</v>
      </c>
      <c r="Z327" s="2">
        <f t="shared" si="106"/>
        <v>0.39696969696969697</v>
      </c>
      <c r="AA327" s="19">
        <v>31020</v>
      </c>
      <c r="AB327" s="1">
        <f t="shared" si="99"/>
        <v>-25799.999999999996</v>
      </c>
      <c r="AC327" s="22">
        <f t="shared" si="100"/>
        <v>0.4777777777777778</v>
      </c>
      <c r="AD327" s="23">
        <f t="shared" si="101"/>
        <v>2580.0000000000036</v>
      </c>
    </row>
    <row r="328" spans="1:30" ht="21" customHeight="1">
      <c r="A328" s="7">
        <f t="shared" si="91"/>
        <v>328</v>
      </c>
      <c r="B328" s="13">
        <v>8</v>
      </c>
      <c r="C328" s="38">
        <v>29</v>
      </c>
      <c r="D328" s="37" t="s">
        <v>47</v>
      </c>
      <c r="E328" s="24" t="s">
        <v>596</v>
      </c>
      <c r="F328" s="10">
        <v>3</v>
      </c>
      <c r="G328" s="11">
        <f t="shared" si="92"/>
        <v>39600</v>
      </c>
      <c r="H328" s="32"/>
      <c r="I328" s="33"/>
      <c r="J328" s="96"/>
      <c r="K328" s="90"/>
      <c r="L328" s="25" t="s">
        <v>228</v>
      </c>
      <c r="M328" s="25" t="s">
        <v>597</v>
      </c>
      <c r="N328" s="1" t="s">
        <v>45</v>
      </c>
      <c r="O328" s="1" t="s">
        <v>520</v>
      </c>
      <c r="P328" s="1" t="s">
        <v>35</v>
      </c>
      <c r="Q328" s="10">
        <v>12000</v>
      </c>
      <c r="R328" s="13">
        <f t="shared" si="93"/>
        <v>36000</v>
      </c>
      <c r="S328" s="1">
        <f t="shared" si="105"/>
        <v>3600</v>
      </c>
      <c r="T328" s="1">
        <v>0</v>
      </c>
      <c r="U328" s="1">
        <f t="shared" si="95"/>
        <v>0</v>
      </c>
      <c r="V328" s="10" t="s">
        <v>561</v>
      </c>
      <c r="W328" s="1" t="s">
        <v>196</v>
      </c>
      <c r="X328" s="14">
        <f t="shared" si="96"/>
        <v>7400</v>
      </c>
      <c r="Y328" s="14">
        <f t="shared" si="97"/>
        <v>3800</v>
      </c>
      <c r="Z328" s="2">
        <f t="shared" si="106"/>
        <v>9.5959595959595953E-2</v>
      </c>
      <c r="AA328" s="19">
        <v>32200</v>
      </c>
      <c r="AB328" s="1">
        <f t="shared" si="99"/>
        <v>-6727.2727272727279</v>
      </c>
      <c r="AC328" s="22">
        <f t="shared" si="100"/>
        <v>0.18686868686868688</v>
      </c>
      <c r="AD328" s="23">
        <f t="shared" si="101"/>
        <v>672.72727272727207</v>
      </c>
    </row>
    <row r="329" spans="1:30" ht="2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2"/>
      <c r="AA329" s="1"/>
      <c r="AB329" s="1"/>
      <c r="AC329" s="1"/>
      <c r="AD329" s="1"/>
    </row>
    <row r="330" spans="1:30" ht="21" customHeight="1">
      <c r="A330" s="7">
        <f t="shared" ref="A330:A358" si="107">ROW()</f>
        <v>330</v>
      </c>
      <c r="B330" s="13">
        <v>9</v>
      </c>
      <c r="C330" s="38">
        <v>3</v>
      </c>
      <c r="D330" s="37" t="s">
        <v>47</v>
      </c>
      <c r="E330" s="24" t="s">
        <v>598</v>
      </c>
      <c r="F330" s="10">
        <v>7</v>
      </c>
      <c r="G330" s="11">
        <f t="shared" ref="G330:G358" si="108">R330+S330+T330+U330</f>
        <v>107800</v>
      </c>
      <c r="H330" s="31"/>
      <c r="I330" s="33"/>
      <c r="J330" s="96"/>
      <c r="K330" s="90"/>
      <c r="L330" s="12">
        <v>45903</v>
      </c>
      <c r="M330" s="12">
        <v>45903</v>
      </c>
      <c r="N330" s="1" t="s">
        <v>48</v>
      </c>
      <c r="O330" s="1"/>
      <c r="P330" s="1" t="s">
        <v>35</v>
      </c>
      <c r="Q330" s="10">
        <v>14000</v>
      </c>
      <c r="R330" s="13">
        <f t="shared" ref="R330:R358" si="109">Q330*F330</f>
        <v>98000</v>
      </c>
      <c r="S330" s="1">
        <f t="shared" ref="S330:S352" si="110">R330*0.1</f>
        <v>9800</v>
      </c>
      <c r="T330" s="1">
        <v>0</v>
      </c>
      <c r="U330" s="1">
        <f t="shared" ref="U330:U358" si="111">T330*0.1</f>
        <v>0</v>
      </c>
      <c r="V330" s="10" t="s">
        <v>50</v>
      </c>
      <c r="W330" s="1" t="s">
        <v>474</v>
      </c>
      <c r="X330" s="14">
        <f t="shared" ref="X330:X358" si="112">G330-AA330</f>
        <v>37800</v>
      </c>
      <c r="Y330" s="14">
        <f t="shared" ref="Y330:Y358" si="113">X330-S330</f>
        <v>28000</v>
      </c>
      <c r="Z330" s="2">
        <f t="shared" ref="Z330:Z358" si="114">Y330/G330</f>
        <v>0.25974025974025972</v>
      </c>
      <c r="AA330" s="19">
        <v>70000</v>
      </c>
      <c r="AB330" s="1">
        <f t="shared" ref="AB330:AB358" si="115">(AA330/1.1)-(G330/1.1)</f>
        <v>-34363.636363636353</v>
      </c>
      <c r="AC330" s="22">
        <f t="shared" ref="AC330:AC333" si="116">((G330/1.1) - (AA330/1.1)) / (G330/1.1) * 1</f>
        <v>0.3506493506493506</v>
      </c>
      <c r="AD330" s="23">
        <f t="shared" ref="AD330:AD358" si="117">(G330 - (G330 / 1.1)) - (AA330 - (AA330 / 1.1))</f>
        <v>3436.3636363636469</v>
      </c>
    </row>
    <row r="331" spans="1:30" ht="21" customHeight="1">
      <c r="A331" s="7">
        <f t="shared" si="107"/>
        <v>331</v>
      </c>
      <c r="B331" s="13">
        <v>9</v>
      </c>
      <c r="C331" s="38">
        <v>3</v>
      </c>
      <c r="D331" s="37" t="s">
        <v>47</v>
      </c>
      <c r="E331" s="24" t="s">
        <v>599</v>
      </c>
      <c r="F331" s="10">
        <v>5</v>
      </c>
      <c r="G331" s="11">
        <f t="shared" si="108"/>
        <v>66000</v>
      </c>
      <c r="H331" s="31"/>
      <c r="I331" s="33"/>
      <c r="J331" s="96"/>
      <c r="K331" s="90"/>
      <c r="L331" s="12">
        <v>45903</v>
      </c>
      <c r="M331" s="12">
        <v>45903</v>
      </c>
      <c r="N331" s="1" t="s">
        <v>48</v>
      </c>
      <c r="O331" s="1"/>
      <c r="P331" s="1" t="s">
        <v>35</v>
      </c>
      <c r="Q331" s="10">
        <v>12000</v>
      </c>
      <c r="R331" s="13">
        <f t="shared" si="109"/>
        <v>60000</v>
      </c>
      <c r="S331" s="1">
        <f t="shared" si="110"/>
        <v>6000</v>
      </c>
      <c r="T331" s="1">
        <v>0</v>
      </c>
      <c r="U331" s="1">
        <f t="shared" si="111"/>
        <v>0</v>
      </c>
      <c r="V331" s="10" t="s">
        <v>50</v>
      </c>
      <c r="W331" s="1" t="s">
        <v>474</v>
      </c>
      <c r="X331" s="14">
        <f t="shared" si="112"/>
        <v>14000</v>
      </c>
      <c r="Y331" s="14">
        <f t="shared" si="113"/>
        <v>8000</v>
      </c>
      <c r="Z331" s="2">
        <f t="shared" si="114"/>
        <v>0.12121212121212122</v>
      </c>
      <c r="AA331" s="19">
        <v>52000</v>
      </c>
      <c r="AB331" s="1">
        <f t="shared" si="115"/>
        <v>-12727.272727272721</v>
      </c>
      <c r="AC331" s="22">
        <f t="shared" si="116"/>
        <v>0.21212121212121204</v>
      </c>
      <c r="AD331" s="23">
        <f t="shared" si="117"/>
        <v>1272.7272727272793</v>
      </c>
    </row>
    <row r="332" spans="1:30" ht="21" customHeight="1">
      <c r="A332" s="26">
        <f t="shared" si="107"/>
        <v>332</v>
      </c>
      <c r="B332" s="13">
        <v>9</v>
      </c>
      <c r="C332" s="38">
        <v>3</v>
      </c>
      <c r="D332" s="27" t="s">
        <v>47</v>
      </c>
      <c r="E332" s="9" t="s">
        <v>110</v>
      </c>
      <c r="F332" s="10">
        <v>1</v>
      </c>
      <c r="G332" s="11">
        <f t="shared" si="108"/>
        <v>473000</v>
      </c>
      <c r="H332" s="31"/>
      <c r="I332" s="33"/>
      <c r="J332" s="96"/>
      <c r="K332" s="90"/>
      <c r="L332" s="12">
        <v>45903</v>
      </c>
      <c r="M332" s="12">
        <v>45903</v>
      </c>
      <c r="N332" s="1" t="s">
        <v>111</v>
      </c>
      <c r="O332" s="1"/>
      <c r="P332" s="1" t="s">
        <v>44</v>
      </c>
      <c r="Q332" s="10">
        <v>430000</v>
      </c>
      <c r="R332" s="13">
        <f t="shared" si="109"/>
        <v>430000</v>
      </c>
      <c r="S332" s="1">
        <f t="shared" si="110"/>
        <v>43000</v>
      </c>
      <c r="T332" s="1">
        <v>0</v>
      </c>
      <c r="U332" s="1">
        <f t="shared" si="111"/>
        <v>0</v>
      </c>
      <c r="V332" s="10" t="s">
        <v>46</v>
      </c>
      <c r="W332" s="1" t="s">
        <v>474</v>
      </c>
      <c r="X332" s="14">
        <f t="shared" si="112"/>
        <v>246500</v>
      </c>
      <c r="Y332" s="14">
        <f t="shared" si="113"/>
        <v>203500</v>
      </c>
      <c r="Z332" s="2">
        <f t="shared" si="114"/>
        <v>0.43023255813953487</v>
      </c>
      <c r="AA332" s="19">
        <v>226500</v>
      </c>
      <c r="AB332" s="1">
        <f t="shared" si="115"/>
        <v>-224090.90909090906</v>
      </c>
      <c r="AC332" s="22">
        <f t="shared" si="116"/>
        <v>0.52114164904862581</v>
      </c>
      <c r="AD332" s="23">
        <f t="shared" si="117"/>
        <v>22409.090909090941</v>
      </c>
    </row>
    <row r="333" spans="1:30" ht="21" customHeight="1">
      <c r="A333" s="26">
        <f t="shared" si="107"/>
        <v>333</v>
      </c>
      <c r="B333" s="13">
        <v>9</v>
      </c>
      <c r="C333" s="38">
        <v>3</v>
      </c>
      <c r="D333" s="10" t="s">
        <v>201</v>
      </c>
      <c r="E333" s="9" t="s">
        <v>600</v>
      </c>
      <c r="F333" s="10">
        <v>1</v>
      </c>
      <c r="G333" s="11">
        <f t="shared" si="108"/>
        <v>1375000</v>
      </c>
      <c r="H333" s="31"/>
      <c r="I333" s="33"/>
      <c r="J333" s="96"/>
      <c r="K333" s="90"/>
      <c r="L333" s="12">
        <v>45911</v>
      </c>
      <c r="M333" s="12">
        <v>45908</v>
      </c>
      <c r="N333" s="1" t="s">
        <v>601</v>
      </c>
      <c r="O333" s="1"/>
      <c r="P333" s="1" t="s">
        <v>210</v>
      </c>
      <c r="Q333" s="10">
        <v>1250000</v>
      </c>
      <c r="R333" s="13">
        <f t="shared" si="109"/>
        <v>1250000</v>
      </c>
      <c r="S333" s="1">
        <f t="shared" si="110"/>
        <v>125000</v>
      </c>
      <c r="T333" s="1">
        <v>0</v>
      </c>
      <c r="U333" s="1">
        <f t="shared" si="111"/>
        <v>0</v>
      </c>
      <c r="V333" s="10" t="s">
        <v>36</v>
      </c>
      <c r="W333" s="1"/>
      <c r="X333" s="14">
        <f t="shared" si="112"/>
        <v>542640</v>
      </c>
      <c r="Y333" s="14">
        <f t="shared" si="113"/>
        <v>417640</v>
      </c>
      <c r="Z333" s="2">
        <f t="shared" si="114"/>
        <v>0.3037381818181818</v>
      </c>
      <c r="AA333" s="19">
        <v>832360</v>
      </c>
      <c r="AB333" s="1">
        <f t="shared" si="115"/>
        <v>-493309.09090909094</v>
      </c>
      <c r="AC333" s="22">
        <f t="shared" si="116"/>
        <v>0.39464727272727274</v>
      </c>
      <c r="AD333" s="23">
        <f t="shared" si="117"/>
        <v>49330.909090909059</v>
      </c>
    </row>
    <row r="334" spans="1:30" ht="21" customHeight="1">
      <c r="A334" s="26">
        <f t="shared" si="107"/>
        <v>334</v>
      </c>
      <c r="B334" s="13">
        <v>9</v>
      </c>
      <c r="C334" s="38">
        <v>3</v>
      </c>
      <c r="D334" s="10" t="s">
        <v>85</v>
      </c>
      <c r="E334" s="24" t="s">
        <v>602</v>
      </c>
      <c r="F334" s="10">
        <v>1</v>
      </c>
      <c r="G334" s="11">
        <f t="shared" si="108"/>
        <v>13200</v>
      </c>
      <c r="H334" s="32"/>
      <c r="I334" s="33"/>
      <c r="J334" s="96"/>
      <c r="K334" s="90"/>
      <c r="L334" s="12">
        <v>45910</v>
      </c>
      <c r="M334" s="12">
        <v>45903</v>
      </c>
      <c r="N334" s="1" t="s">
        <v>45</v>
      </c>
      <c r="O334" s="1" t="s">
        <v>34</v>
      </c>
      <c r="P334" s="1" t="s">
        <v>35</v>
      </c>
      <c r="Q334" s="10">
        <v>12000</v>
      </c>
      <c r="R334" s="13">
        <f t="shared" si="109"/>
        <v>12000</v>
      </c>
      <c r="S334" s="1">
        <f t="shared" si="110"/>
        <v>1200</v>
      </c>
      <c r="T334" s="1">
        <v>0</v>
      </c>
      <c r="U334" s="1">
        <f t="shared" si="111"/>
        <v>0</v>
      </c>
      <c r="V334" s="10" t="s">
        <v>50</v>
      </c>
      <c r="W334" s="1" t="s">
        <v>103</v>
      </c>
      <c r="X334" s="14">
        <f t="shared" si="112"/>
        <v>4650</v>
      </c>
      <c r="Y334" s="14">
        <f t="shared" si="113"/>
        <v>3450</v>
      </c>
      <c r="Z334" s="2">
        <f t="shared" si="114"/>
        <v>0.26136363636363635</v>
      </c>
      <c r="AA334" s="19">
        <v>8550</v>
      </c>
      <c r="AB334" s="1">
        <f t="shared" si="115"/>
        <v>-4227.2727272727261</v>
      </c>
      <c r="AC334" s="20">
        <f t="shared" ref="AC334:AC335" si="118">((G334/1.1) - (AA334/1.1)) / (G334/1.1) * 1</f>
        <v>0.35227272727272724</v>
      </c>
      <c r="AD334" s="21">
        <f t="shared" si="117"/>
        <v>422.72727272727388</v>
      </c>
    </row>
    <row r="335" spans="1:30" ht="21" customHeight="1">
      <c r="A335" s="26">
        <f t="shared" si="107"/>
        <v>335</v>
      </c>
      <c r="B335" s="13">
        <v>9</v>
      </c>
      <c r="C335" s="38">
        <v>3</v>
      </c>
      <c r="D335" s="10" t="s">
        <v>85</v>
      </c>
      <c r="E335" s="24" t="s">
        <v>603</v>
      </c>
      <c r="F335" s="10">
        <v>1</v>
      </c>
      <c r="G335" s="11">
        <f t="shared" si="108"/>
        <v>20900</v>
      </c>
      <c r="H335" s="32"/>
      <c r="I335" s="33"/>
      <c r="J335" s="96"/>
      <c r="K335" s="90"/>
      <c r="L335" s="12">
        <v>45910</v>
      </c>
      <c r="M335" s="12">
        <v>45889</v>
      </c>
      <c r="N335" s="1" t="s">
        <v>38</v>
      </c>
      <c r="O335" s="1" t="s">
        <v>39</v>
      </c>
      <c r="P335" s="1" t="s">
        <v>35</v>
      </c>
      <c r="Q335" s="10">
        <v>19000</v>
      </c>
      <c r="R335" s="13">
        <f t="shared" si="109"/>
        <v>19000</v>
      </c>
      <c r="S335" s="1">
        <f t="shared" si="110"/>
        <v>1900</v>
      </c>
      <c r="T335" s="1">
        <v>0</v>
      </c>
      <c r="U335" s="1">
        <f t="shared" si="111"/>
        <v>0</v>
      </c>
      <c r="V335" s="10" t="s">
        <v>50</v>
      </c>
      <c r="W335" s="1" t="s">
        <v>103</v>
      </c>
      <c r="X335" s="14">
        <f t="shared" si="112"/>
        <v>12350</v>
      </c>
      <c r="Y335" s="14">
        <f t="shared" si="113"/>
        <v>10450</v>
      </c>
      <c r="Z335" s="2">
        <f t="shared" si="114"/>
        <v>0.5</v>
      </c>
      <c r="AA335" s="19">
        <v>8550</v>
      </c>
      <c r="AB335" s="1">
        <f t="shared" si="115"/>
        <v>-11227.272727272728</v>
      </c>
      <c r="AC335" s="20">
        <f t="shared" si="118"/>
        <v>0.59090909090909094</v>
      </c>
      <c r="AD335" s="21">
        <f t="shared" si="117"/>
        <v>1122.7272727272721</v>
      </c>
    </row>
    <row r="336" spans="1:30" ht="21" customHeight="1">
      <c r="A336" s="26">
        <f t="shared" si="107"/>
        <v>336</v>
      </c>
      <c r="B336" s="13">
        <v>9</v>
      </c>
      <c r="C336" s="38">
        <v>9</v>
      </c>
      <c r="D336" s="10" t="s">
        <v>47</v>
      </c>
      <c r="E336" s="9" t="s">
        <v>604</v>
      </c>
      <c r="F336" s="10">
        <v>1</v>
      </c>
      <c r="G336" s="11">
        <f t="shared" si="108"/>
        <v>38500</v>
      </c>
      <c r="H336" s="32"/>
      <c r="I336" s="33"/>
      <c r="J336" s="96"/>
      <c r="K336" s="90"/>
      <c r="L336" s="12">
        <v>45909</v>
      </c>
      <c r="M336" s="12">
        <v>45909</v>
      </c>
      <c r="N336" s="33"/>
      <c r="O336" s="28" t="s">
        <v>172</v>
      </c>
      <c r="P336" s="1" t="s">
        <v>187</v>
      </c>
      <c r="Q336" s="10">
        <v>35000</v>
      </c>
      <c r="R336" s="13">
        <f t="shared" si="109"/>
        <v>35000</v>
      </c>
      <c r="S336" s="1">
        <f t="shared" si="110"/>
        <v>3500</v>
      </c>
      <c r="T336" s="1">
        <v>0</v>
      </c>
      <c r="U336" s="1">
        <f t="shared" si="111"/>
        <v>0</v>
      </c>
      <c r="V336" s="10" t="s">
        <v>41</v>
      </c>
      <c r="W336" s="1" t="s">
        <v>138</v>
      </c>
      <c r="X336" s="14">
        <f t="shared" si="112"/>
        <v>38500</v>
      </c>
      <c r="Y336" s="14">
        <f t="shared" si="113"/>
        <v>35000</v>
      </c>
      <c r="Z336" s="2">
        <f t="shared" si="114"/>
        <v>0.90909090909090906</v>
      </c>
      <c r="AA336" s="19">
        <v>0</v>
      </c>
      <c r="AB336" s="1">
        <f t="shared" si="115"/>
        <v>-35000</v>
      </c>
      <c r="AC336" s="22">
        <f t="shared" ref="AC336:AC338" si="119">((G336/1.1) - (AA336/1.1)) / (G336/1.1) * 1</f>
        <v>1</v>
      </c>
      <c r="AD336" s="23">
        <f t="shared" si="117"/>
        <v>3500</v>
      </c>
    </row>
    <row r="337" spans="1:30" ht="21" customHeight="1">
      <c r="A337" s="26">
        <f t="shared" si="107"/>
        <v>337</v>
      </c>
      <c r="B337" s="13">
        <v>9</v>
      </c>
      <c r="C337" s="38">
        <v>18</v>
      </c>
      <c r="D337" s="10" t="s">
        <v>70</v>
      </c>
      <c r="E337" s="9" t="s">
        <v>605</v>
      </c>
      <c r="F337" s="10">
        <v>3</v>
      </c>
      <c r="G337" s="11">
        <f t="shared" si="108"/>
        <v>39600</v>
      </c>
      <c r="H337" s="32"/>
      <c r="I337" s="33"/>
      <c r="J337" s="96"/>
      <c r="K337" s="90"/>
      <c r="L337" s="25"/>
      <c r="M337" s="25"/>
      <c r="N337" s="33"/>
      <c r="O337" s="28" t="s">
        <v>45</v>
      </c>
      <c r="P337" s="1" t="s">
        <v>53</v>
      </c>
      <c r="Q337" s="10">
        <v>12000</v>
      </c>
      <c r="R337" s="13">
        <f t="shared" si="109"/>
        <v>36000</v>
      </c>
      <c r="S337" s="1">
        <f t="shared" si="110"/>
        <v>3600</v>
      </c>
      <c r="T337" s="1">
        <v>0</v>
      </c>
      <c r="U337" s="1">
        <f t="shared" si="111"/>
        <v>0</v>
      </c>
      <c r="V337" s="10" t="s">
        <v>36</v>
      </c>
      <c r="W337" s="1" t="s">
        <v>275</v>
      </c>
      <c r="X337" s="14">
        <f t="shared" si="112"/>
        <v>11900</v>
      </c>
      <c r="Y337" s="14">
        <f t="shared" si="113"/>
        <v>8300</v>
      </c>
      <c r="Z337" s="2">
        <f t="shared" si="114"/>
        <v>0.20959595959595959</v>
      </c>
      <c r="AA337" s="19">
        <v>27700</v>
      </c>
      <c r="AB337" s="1">
        <f t="shared" si="115"/>
        <v>-10818.18181818182</v>
      </c>
      <c r="AC337" s="22">
        <f t="shared" si="119"/>
        <v>0.30050505050505055</v>
      </c>
      <c r="AD337" s="23">
        <f t="shared" si="117"/>
        <v>1081.8181818181802</v>
      </c>
    </row>
    <row r="338" spans="1:30" ht="21" customHeight="1">
      <c r="A338" s="26">
        <f t="shared" si="107"/>
        <v>338</v>
      </c>
      <c r="B338" s="13">
        <v>9</v>
      </c>
      <c r="C338" s="38">
        <v>18</v>
      </c>
      <c r="D338" s="1" t="s">
        <v>70</v>
      </c>
      <c r="E338" s="35" t="s">
        <v>148</v>
      </c>
      <c r="F338" s="10">
        <v>1</v>
      </c>
      <c r="G338" s="11">
        <f t="shared" si="108"/>
        <v>25300</v>
      </c>
      <c r="H338" s="32"/>
      <c r="I338" s="33"/>
      <c r="J338" s="96"/>
      <c r="K338" s="90"/>
      <c r="L338" s="12"/>
      <c r="M338" s="12"/>
      <c r="N338" s="1" t="s">
        <v>38</v>
      </c>
      <c r="O338" s="1" t="s">
        <v>149</v>
      </c>
      <c r="P338" s="1" t="s">
        <v>150</v>
      </c>
      <c r="Q338" s="10">
        <v>23000</v>
      </c>
      <c r="R338" s="13">
        <f t="shared" si="109"/>
        <v>23000</v>
      </c>
      <c r="S338" s="1">
        <f t="shared" si="110"/>
        <v>2300</v>
      </c>
      <c r="T338" s="1">
        <v>0</v>
      </c>
      <c r="U338" s="1">
        <f t="shared" si="111"/>
        <v>0</v>
      </c>
      <c r="V338" s="10" t="s">
        <v>41</v>
      </c>
      <c r="W338" s="1" t="s">
        <v>275</v>
      </c>
      <c r="X338" s="14">
        <f t="shared" si="112"/>
        <v>9300</v>
      </c>
      <c r="Y338" s="14">
        <f t="shared" si="113"/>
        <v>7000</v>
      </c>
      <c r="Z338" s="2">
        <f t="shared" si="114"/>
        <v>0.27667984189723321</v>
      </c>
      <c r="AA338" s="19">
        <v>16000</v>
      </c>
      <c r="AB338" s="1">
        <f t="shared" si="115"/>
        <v>-8454.5454545454522</v>
      </c>
      <c r="AC338" s="22">
        <f t="shared" si="119"/>
        <v>0.36758893280632404</v>
      </c>
      <c r="AD338" s="23">
        <f t="shared" si="117"/>
        <v>845.45454545454777</v>
      </c>
    </row>
    <row r="339" spans="1:30" ht="21" customHeight="1">
      <c r="A339" s="26">
        <f t="shared" si="107"/>
        <v>339</v>
      </c>
      <c r="B339" s="13">
        <v>9</v>
      </c>
      <c r="C339" s="38">
        <v>19</v>
      </c>
      <c r="D339" s="10" t="s">
        <v>85</v>
      </c>
      <c r="E339" s="9" t="s">
        <v>606</v>
      </c>
      <c r="F339" s="1">
        <v>1</v>
      </c>
      <c r="G339" s="11">
        <f t="shared" si="108"/>
        <v>330000</v>
      </c>
      <c r="H339" s="32"/>
      <c r="I339" s="33"/>
      <c r="J339" s="96"/>
      <c r="K339" s="90"/>
      <c r="L339" s="25" t="s">
        <v>228</v>
      </c>
      <c r="M339" s="25" t="s">
        <v>597</v>
      </c>
      <c r="N339" s="1" t="s">
        <v>607</v>
      </c>
      <c r="O339" s="1" t="s">
        <v>86</v>
      </c>
      <c r="P339" s="1" t="s">
        <v>608</v>
      </c>
      <c r="Q339" s="10">
        <v>300000</v>
      </c>
      <c r="R339" s="13">
        <f t="shared" si="109"/>
        <v>300000</v>
      </c>
      <c r="S339" s="1">
        <f t="shared" si="110"/>
        <v>30000</v>
      </c>
      <c r="T339" s="1">
        <v>0</v>
      </c>
      <c r="U339" s="1">
        <f t="shared" si="111"/>
        <v>0</v>
      </c>
      <c r="V339" s="10" t="s">
        <v>36</v>
      </c>
      <c r="W339" s="1" t="s">
        <v>85</v>
      </c>
      <c r="X339" s="14">
        <f t="shared" si="112"/>
        <v>138240</v>
      </c>
      <c r="Y339" s="14">
        <f t="shared" si="113"/>
        <v>108240</v>
      </c>
      <c r="Z339" s="2">
        <f t="shared" si="114"/>
        <v>0.32800000000000001</v>
      </c>
      <c r="AA339" s="19">
        <v>191760</v>
      </c>
      <c r="AB339" s="1">
        <f t="shared" si="115"/>
        <v>-125672.72727272729</v>
      </c>
      <c r="AC339" s="20">
        <f t="shared" ref="AC339:AC352" si="120">((G339/1.1) - (AA339/1.1)) / (G339/1.1) * 1</f>
        <v>0.41890909090909095</v>
      </c>
      <c r="AD339" s="21">
        <f t="shared" si="117"/>
        <v>12567.272727272706</v>
      </c>
    </row>
    <row r="340" spans="1:30" ht="21" customHeight="1">
      <c r="A340" s="26">
        <f t="shared" si="107"/>
        <v>340</v>
      </c>
      <c r="B340" s="13">
        <v>9</v>
      </c>
      <c r="C340" s="38">
        <v>19</v>
      </c>
      <c r="D340" s="10" t="s">
        <v>225</v>
      </c>
      <c r="E340" s="9" t="s">
        <v>609</v>
      </c>
      <c r="F340" s="1">
        <v>1</v>
      </c>
      <c r="G340" s="11">
        <f t="shared" si="108"/>
        <v>27500</v>
      </c>
      <c r="H340" s="32"/>
      <c r="I340" s="33"/>
      <c r="J340" s="96"/>
      <c r="K340" s="90"/>
      <c r="L340" s="12"/>
      <c r="M340" s="12"/>
      <c r="N340" s="1" t="s">
        <v>38</v>
      </c>
      <c r="O340" s="1" t="s">
        <v>39</v>
      </c>
      <c r="P340" s="1" t="s">
        <v>83</v>
      </c>
      <c r="Q340" s="10">
        <v>21000</v>
      </c>
      <c r="R340" s="13">
        <f t="shared" si="109"/>
        <v>21000</v>
      </c>
      <c r="S340" s="1">
        <f t="shared" si="110"/>
        <v>2100</v>
      </c>
      <c r="T340" s="1">
        <v>4000</v>
      </c>
      <c r="U340" s="1">
        <f t="shared" si="111"/>
        <v>400</v>
      </c>
      <c r="V340" s="10" t="s">
        <v>490</v>
      </c>
      <c r="W340" s="1" t="s">
        <v>186</v>
      </c>
      <c r="X340" s="14">
        <f t="shared" si="112"/>
        <v>27500</v>
      </c>
      <c r="Y340" s="14">
        <f t="shared" si="113"/>
        <v>25400</v>
      </c>
      <c r="Z340" s="2">
        <f t="shared" si="114"/>
        <v>0.92363636363636359</v>
      </c>
      <c r="AA340" s="19">
        <v>0</v>
      </c>
      <c r="AB340" s="1">
        <f t="shared" si="115"/>
        <v>-24999.999999999996</v>
      </c>
      <c r="AC340" s="20">
        <f t="shared" si="120"/>
        <v>1</v>
      </c>
      <c r="AD340" s="21">
        <f t="shared" si="117"/>
        <v>2500.0000000000036</v>
      </c>
    </row>
    <row r="341" spans="1:30" ht="21" customHeight="1">
      <c r="A341" s="26">
        <f t="shared" si="107"/>
        <v>341</v>
      </c>
      <c r="B341" s="13">
        <v>9</v>
      </c>
      <c r="C341" s="38">
        <v>19</v>
      </c>
      <c r="D341" s="10" t="s">
        <v>185</v>
      </c>
      <c r="E341" s="9" t="s">
        <v>610</v>
      </c>
      <c r="F341" s="1">
        <v>1</v>
      </c>
      <c r="G341" s="11">
        <f t="shared" si="108"/>
        <v>110000</v>
      </c>
      <c r="H341" s="32"/>
      <c r="I341" s="33"/>
      <c r="J341" s="96"/>
      <c r="K341" s="90"/>
      <c r="L341" s="25" t="s">
        <v>228</v>
      </c>
      <c r="M341" s="25" t="s">
        <v>597</v>
      </c>
      <c r="N341" s="1" t="s">
        <v>611</v>
      </c>
      <c r="O341" s="1"/>
      <c r="P341" s="1"/>
      <c r="Q341" s="10">
        <v>100000</v>
      </c>
      <c r="R341" s="13">
        <f t="shared" si="109"/>
        <v>100000</v>
      </c>
      <c r="S341" s="1">
        <f t="shared" si="110"/>
        <v>10000</v>
      </c>
      <c r="T341" s="1">
        <v>0</v>
      </c>
      <c r="U341" s="1">
        <f t="shared" si="111"/>
        <v>0</v>
      </c>
      <c r="V341" s="10" t="s">
        <v>50</v>
      </c>
      <c r="W341" s="1" t="s">
        <v>612</v>
      </c>
      <c r="X341" s="14">
        <f t="shared" si="112"/>
        <v>110000</v>
      </c>
      <c r="Y341" s="14">
        <f t="shared" si="113"/>
        <v>100000</v>
      </c>
      <c r="Z341" s="2">
        <f t="shared" si="114"/>
        <v>0.90909090909090906</v>
      </c>
      <c r="AA341" s="19">
        <v>0</v>
      </c>
      <c r="AB341" s="1">
        <f t="shared" si="115"/>
        <v>-99999.999999999985</v>
      </c>
      <c r="AC341" s="20">
        <f t="shared" si="120"/>
        <v>1</v>
      </c>
      <c r="AD341" s="21">
        <f t="shared" si="117"/>
        <v>10000.000000000015</v>
      </c>
    </row>
    <row r="342" spans="1:30" ht="21" customHeight="1">
      <c r="A342" s="26">
        <f t="shared" si="107"/>
        <v>342</v>
      </c>
      <c r="B342" s="18">
        <v>10</v>
      </c>
      <c r="C342" s="46">
        <v>2</v>
      </c>
      <c r="D342" s="10" t="s">
        <v>178</v>
      </c>
      <c r="E342" s="9" t="s">
        <v>38</v>
      </c>
      <c r="F342" s="1">
        <v>1</v>
      </c>
      <c r="G342" s="11">
        <f t="shared" si="108"/>
        <v>20900</v>
      </c>
      <c r="H342" s="32"/>
      <c r="I342" s="33"/>
      <c r="J342" s="96"/>
      <c r="K342" s="90"/>
      <c r="L342" s="25" t="s">
        <v>228</v>
      </c>
      <c r="M342" s="25" t="s">
        <v>597</v>
      </c>
      <c r="N342" s="1" t="s">
        <v>38</v>
      </c>
      <c r="O342" s="1"/>
      <c r="P342" s="1" t="s">
        <v>83</v>
      </c>
      <c r="Q342" s="10">
        <v>19000</v>
      </c>
      <c r="R342" s="13">
        <f t="shared" si="109"/>
        <v>19000</v>
      </c>
      <c r="S342" s="1">
        <f t="shared" si="110"/>
        <v>1900</v>
      </c>
      <c r="T342" s="1">
        <v>0</v>
      </c>
      <c r="U342" s="1">
        <f t="shared" si="111"/>
        <v>0</v>
      </c>
      <c r="V342" s="10" t="s">
        <v>50</v>
      </c>
      <c r="W342" s="1" t="s">
        <v>613</v>
      </c>
      <c r="X342" s="14">
        <f t="shared" si="112"/>
        <v>3600</v>
      </c>
      <c r="Y342" s="14">
        <f t="shared" si="113"/>
        <v>1700</v>
      </c>
      <c r="Z342" s="2">
        <f t="shared" si="114"/>
        <v>8.1339712918660281E-2</v>
      </c>
      <c r="AA342" s="19">
        <v>17300</v>
      </c>
      <c r="AB342" s="1">
        <f t="shared" si="115"/>
        <v>-3272.7272727272739</v>
      </c>
      <c r="AC342" s="20">
        <f t="shared" si="120"/>
        <v>0.17224880382775126</v>
      </c>
      <c r="AD342" s="21">
        <f t="shared" si="117"/>
        <v>327.27272727272612</v>
      </c>
    </row>
    <row r="343" spans="1:30" ht="21" customHeight="1">
      <c r="A343" s="26">
        <f t="shared" si="107"/>
        <v>343</v>
      </c>
      <c r="B343" s="18">
        <v>10</v>
      </c>
      <c r="C343" s="46">
        <v>2</v>
      </c>
      <c r="D343" s="10" t="s">
        <v>47</v>
      </c>
      <c r="E343" s="9" t="s">
        <v>614</v>
      </c>
      <c r="F343" s="1">
        <v>3</v>
      </c>
      <c r="G343" s="11">
        <f t="shared" si="108"/>
        <v>39600</v>
      </c>
      <c r="H343" s="32"/>
      <c r="I343" s="33"/>
      <c r="J343" s="96"/>
      <c r="K343" s="90"/>
      <c r="L343" s="12">
        <v>45932</v>
      </c>
      <c r="M343" s="12">
        <v>45932</v>
      </c>
      <c r="N343" s="1" t="s">
        <v>45</v>
      </c>
      <c r="O343" s="1" t="s">
        <v>520</v>
      </c>
      <c r="P343" s="1" t="s">
        <v>35</v>
      </c>
      <c r="Q343" s="10">
        <v>12000</v>
      </c>
      <c r="R343" s="13">
        <f t="shared" si="109"/>
        <v>36000</v>
      </c>
      <c r="S343" s="1">
        <f t="shared" si="110"/>
        <v>3600</v>
      </c>
      <c r="T343" s="1">
        <v>0</v>
      </c>
      <c r="U343" s="1">
        <f t="shared" si="111"/>
        <v>0</v>
      </c>
      <c r="V343" s="10" t="s">
        <v>561</v>
      </c>
      <c r="W343" s="1" t="s">
        <v>474</v>
      </c>
      <c r="X343" s="14">
        <f t="shared" si="112"/>
        <v>7400</v>
      </c>
      <c r="Y343" s="14">
        <f t="shared" si="113"/>
        <v>3800</v>
      </c>
      <c r="Z343" s="2">
        <f t="shared" si="114"/>
        <v>9.5959595959595953E-2</v>
      </c>
      <c r="AA343" s="19">
        <v>32200</v>
      </c>
      <c r="AB343" s="1">
        <f t="shared" si="115"/>
        <v>-6727.2727272727279</v>
      </c>
      <c r="AC343" s="20">
        <f t="shared" si="120"/>
        <v>0.18686868686868688</v>
      </c>
      <c r="AD343" s="21">
        <f t="shared" si="117"/>
        <v>672.72727272727207</v>
      </c>
    </row>
    <row r="344" spans="1:30" ht="21" customHeight="1">
      <c r="A344" s="26">
        <f t="shared" si="107"/>
        <v>344</v>
      </c>
      <c r="B344" s="18">
        <v>10</v>
      </c>
      <c r="C344" s="46">
        <v>2</v>
      </c>
      <c r="D344" s="10" t="s">
        <v>47</v>
      </c>
      <c r="E344" s="9" t="s">
        <v>614</v>
      </c>
      <c r="F344" s="1">
        <v>3</v>
      </c>
      <c r="G344" s="11">
        <f t="shared" si="108"/>
        <v>46200</v>
      </c>
      <c r="H344" s="32"/>
      <c r="I344" s="33"/>
      <c r="J344" s="96"/>
      <c r="K344" s="90"/>
      <c r="L344" s="12">
        <v>45932</v>
      </c>
      <c r="M344" s="12">
        <v>45932</v>
      </c>
      <c r="N344" s="1" t="s">
        <v>54</v>
      </c>
      <c r="O344" s="1"/>
      <c r="P344" s="1"/>
      <c r="Q344" s="10">
        <v>14000</v>
      </c>
      <c r="R344" s="13">
        <f t="shared" si="109"/>
        <v>42000</v>
      </c>
      <c r="S344" s="1">
        <f t="shared" si="110"/>
        <v>4200</v>
      </c>
      <c r="T344" s="1">
        <v>0</v>
      </c>
      <c r="U344" s="1">
        <f t="shared" si="111"/>
        <v>0</v>
      </c>
      <c r="V344" s="10" t="s">
        <v>50</v>
      </c>
      <c r="W344" s="1" t="s">
        <v>474</v>
      </c>
      <c r="X344" s="14">
        <f t="shared" si="112"/>
        <v>46200</v>
      </c>
      <c r="Y344" s="14">
        <f t="shared" si="113"/>
        <v>42000</v>
      </c>
      <c r="Z344" s="2">
        <f t="shared" si="114"/>
        <v>0.90909090909090906</v>
      </c>
      <c r="AA344" s="19">
        <v>0</v>
      </c>
      <c r="AB344" s="1">
        <f t="shared" si="115"/>
        <v>-42000</v>
      </c>
      <c r="AC344" s="20">
        <f t="shared" si="120"/>
        <v>1</v>
      </c>
      <c r="AD344" s="21">
        <f t="shared" si="117"/>
        <v>4200</v>
      </c>
    </row>
    <row r="345" spans="1:30" ht="21" customHeight="1">
      <c r="A345" s="26">
        <f t="shared" si="107"/>
        <v>345</v>
      </c>
      <c r="B345" s="18">
        <v>10</v>
      </c>
      <c r="C345" s="46">
        <v>15</v>
      </c>
      <c r="D345" s="10" t="s">
        <v>47</v>
      </c>
      <c r="E345" s="9" t="s">
        <v>615</v>
      </c>
      <c r="F345" s="1">
        <v>1</v>
      </c>
      <c r="G345" s="11">
        <f t="shared" si="108"/>
        <v>473000</v>
      </c>
      <c r="H345" s="32"/>
      <c r="I345" s="33"/>
      <c r="J345" s="96"/>
      <c r="K345" s="90"/>
      <c r="L345" s="12">
        <v>45945</v>
      </c>
      <c r="M345" s="12">
        <v>45945</v>
      </c>
      <c r="N345" s="1" t="s">
        <v>43</v>
      </c>
      <c r="O345" s="1"/>
      <c r="P345" s="1" t="s">
        <v>44</v>
      </c>
      <c r="Q345" s="10">
        <v>430000</v>
      </c>
      <c r="R345" s="13">
        <f t="shared" si="109"/>
        <v>430000</v>
      </c>
      <c r="S345" s="1">
        <f t="shared" si="110"/>
        <v>43000</v>
      </c>
      <c r="T345" s="1">
        <v>0</v>
      </c>
      <c r="U345" s="1">
        <f t="shared" si="111"/>
        <v>0</v>
      </c>
      <c r="V345" s="10" t="s">
        <v>46</v>
      </c>
      <c r="W345" s="1" t="s">
        <v>474</v>
      </c>
      <c r="X345" s="14">
        <f t="shared" si="112"/>
        <v>253000</v>
      </c>
      <c r="Y345" s="14">
        <f t="shared" si="113"/>
        <v>210000</v>
      </c>
      <c r="Z345" s="2">
        <f t="shared" si="114"/>
        <v>0.44397463002114163</v>
      </c>
      <c r="AA345" s="19">
        <v>220000</v>
      </c>
      <c r="AB345" s="1">
        <f t="shared" si="115"/>
        <v>-229999.99999999997</v>
      </c>
      <c r="AC345" s="20">
        <f t="shared" si="120"/>
        <v>0.53488372093023251</v>
      </c>
      <c r="AD345" s="21">
        <f t="shared" si="117"/>
        <v>23000.000000000029</v>
      </c>
    </row>
    <row r="346" spans="1:30" ht="21" customHeight="1">
      <c r="A346" s="26">
        <f t="shared" si="107"/>
        <v>346</v>
      </c>
      <c r="B346" s="18">
        <v>10</v>
      </c>
      <c r="C346" s="46">
        <v>15</v>
      </c>
      <c r="D346" s="10" t="s">
        <v>70</v>
      </c>
      <c r="E346" s="9" t="s">
        <v>616</v>
      </c>
      <c r="F346" s="1">
        <v>1</v>
      </c>
      <c r="G346" s="11">
        <f t="shared" si="108"/>
        <v>2640000</v>
      </c>
      <c r="H346" s="32"/>
      <c r="I346" s="12">
        <v>45948</v>
      </c>
      <c r="J346" s="101"/>
      <c r="K346" s="90"/>
      <c r="L346" s="12">
        <v>45943</v>
      </c>
      <c r="M346" s="12">
        <v>45943</v>
      </c>
      <c r="N346" s="1" t="s">
        <v>617</v>
      </c>
      <c r="O346" s="1"/>
      <c r="P346" s="1"/>
      <c r="Q346" s="10">
        <v>2400000</v>
      </c>
      <c r="R346" s="13">
        <f t="shared" si="109"/>
        <v>2400000</v>
      </c>
      <c r="S346" s="1">
        <f t="shared" si="110"/>
        <v>240000</v>
      </c>
      <c r="T346" s="1">
        <v>0</v>
      </c>
      <c r="U346" s="1">
        <f t="shared" si="111"/>
        <v>0</v>
      </c>
      <c r="V346" s="10" t="s">
        <v>616</v>
      </c>
      <c r="W346" s="1" t="s">
        <v>144</v>
      </c>
      <c r="X346" s="14">
        <f t="shared" si="112"/>
        <v>660000</v>
      </c>
      <c r="Y346" s="14">
        <f t="shared" si="113"/>
        <v>420000</v>
      </c>
      <c r="Z346" s="2">
        <f t="shared" si="114"/>
        <v>0.15909090909090909</v>
      </c>
      <c r="AA346" s="19">
        <v>1980000</v>
      </c>
      <c r="AB346" s="1">
        <f t="shared" si="115"/>
        <v>-600000.00000000023</v>
      </c>
      <c r="AC346" s="20">
        <f t="shared" si="120"/>
        <v>0.25000000000000011</v>
      </c>
      <c r="AD346" s="21">
        <f t="shared" si="117"/>
        <v>59999.999999999767</v>
      </c>
    </row>
    <row r="347" spans="1:30" ht="21" customHeight="1">
      <c r="A347" s="26">
        <f t="shared" si="107"/>
        <v>347</v>
      </c>
      <c r="B347" s="18">
        <v>10</v>
      </c>
      <c r="C347" s="46">
        <v>15</v>
      </c>
      <c r="D347" s="10" t="s">
        <v>70</v>
      </c>
      <c r="E347" s="9" t="s">
        <v>618</v>
      </c>
      <c r="F347" s="1">
        <v>1</v>
      </c>
      <c r="G347" s="11">
        <f t="shared" si="108"/>
        <v>35200</v>
      </c>
      <c r="H347" s="32"/>
      <c r="I347" s="12">
        <v>45947</v>
      </c>
      <c r="J347" s="96"/>
      <c r="K347" s="90"/>
      <c r="L347" s="12">
        <v>45945</v>
      </c>
      <c r="M347" s="12">
        <v>45945</v>
      </c>
      <c r="N347" s="1" t="s">
        <v>38</v>
      </c>
      <c r="O347" s="1" t="s">
        <v>39</v>
      </c>
      <c r="P347" s="1" t="s">
        <v>116</v>
      </c>
      <c r="Q347" s="10">
        <v>32000</v>
      </c>
      <c r="R347" s="13">
        <f t="shared" si="109"/>
        <v>32000</v>
      </c>
      <c r="S347" s="1">
        <f t="shared" si="110"/>
        <v>3200</v>
      </c>
      <c r="T347" s="1">
        <v>0</v>
      </c>
      <c r="U347" s="1">
        <f t="shared" si="111"/>
        <v>0</v>
      </c>
      <c r="V347" s="10" t="s">
        <v>41</v>
      </c>
      <c r="W347" s="1" t="s">
        <v>144</v>
      </c>
      <c r="X347" s="14">
        <f t="shared" si="112"/>
        <v>35200</v>
      </c>
      <c r="Y347" s="14">
        <f t="shared" si="113"/>
        <v>32000</v>
      </c>
      <c r="Z347" s="2">
        <f t="shared" si="114"/>
        <v>0.90909090909090906</v>
      </c>
      <c r="AA347" s="19">
        <v>0</v>
      </c>
      <c r="AB347" s="1">
        <f t="shared" si="115"/>
        <v>-31999.999999999996</v>
      </c>
      <c r="AC347" s="20">
        <f t="shared" si="120"/>
        <v>1</v>
      </c>
      <c r="AD347" s="21">
        <f t="shared" si="117"/>
        <v>3200.0000000000036</v>
      </c>
    </row>
    <row r="348" spans="1:30" ht="21" customHeight="1">
      <c r="A348" s="26">
        <f t="shared" si="107"/>
        <v>348</v>
      </c>
      <c r="B348" s="18">
        <v>10</v>
      </c>
      <c r="C348" s="46">
        <v>15</v>
      </c>
      <c r="D348" s="10" t="s">
        <v>70</v>
      </c>
      <c r="E348" s="9" t="s">
        <v>618</v>
      </c>
      <c r="F348" s="1">
        <v>1</v>
      </c>
      <c r="G348" s="11">
        <f t="shared" si="108"/>
        <v>28600</v>
      </c>
      <c r="H348" s="32"/>
      <c r="I348" s="12">
        <v>45947</v>
      </c>
      <c r="J348" s="96"/>
      <c r="K348" s="90"/>
      <c r="L348" s="12">
        <v>45945</v>
      </c>
      <c r="M348" s="12">
        <v>45945</v>
      </c>
      <c r="N348" s="1" t="s">
        <v>38</v>
      </c>
      <c r="O348" s="1" t="s">
        <v>39</v>
      </c>
      <c r="P348" s="1" t="s">
        <v>195</v>
      </c>
      <c r="Q348" s="10">
        <v>26000</v>
      </c>
      <c r="R348" s="13">
        <f t="shared" si="109"/>
        <v>26000</v>
      </c>
      <c r="S348" s="1">
        <f t="shared" si="110"/>
        <v>2600</v>
      </c>
      <c r="T348" s="1">
        <v>0</v>
      </c>
      <c r="U348" s="1">
        <f t="shared" si="111"/>
        <v>0</v>
      </c>
      <c r="V348" s="10" t="s">
        <v>41</v>
      </c>
      <c r="W348" s="1" t="s">
        <v>144</v>
      </c>
      <c r="X348" s="14">
        <f t="shared" si="112"/>
        <v>28600</v>
      </c>
      <c r="Y348" s="14">
        <f t="shared" si="113"/>
        <v>26000</v>
      </c>
      <c r="Z348" s="2">
        <f t="shared" si="114"/>
        <v>0.90909090909090906</v>
      </c>
      <c r="AA348" s="19">
        <v>0</v>
      </c>
      <c r="AB348" s="1">
        <f t="shared" si="115"/>
        <v>-25999.999999999996</v>
      </c>
      <c r="AC348" s="20">
        <f t="shared" si="120"/>
        <v>1</v>
      </c>
      <c r="AD348" s="21">
        <f t="shared" si="117"/>
        <v>2600.0000000000036</v>
      </c>
    </row>
    <row r="349" spans="1:30" ht="21" customHeight="1">
      <c r="A349" s="26">
        <f t="shared" si="107"/>
        <v>349</v>
      </c>
      <c r="B349" s="18">
        <v>10</v>
      </c>
      <c r="C349" s="46">
        <v>15</v>
      </c>
      <c r="D349" s="10" t="s">
        <v>70</v>
      </c>
      <c r="E349" s="9" t="s">
        <v>618</v>
      </c>
      <c r="F349" s="1">
        <v>1</v>
      </c>
      <c r="G349" s="11">
        <f t="shared" si="108"/>
        <v>20900</v>
      </c>
      <c r="H349" s="32"/>
      <c r="I349" s="12">
        <v>45947</v>
      </c>
      <c r="J349" s="96"/>
      <c r="K349" s="90"/>
      <c r="L349" s="12">
        <v>45945</v>
      </c>
      <c r="M349" s="12">
        <v>45945</v>
      </c>
      <c r="N349" s="1" t="s">
        <v>38</v>
      </c>
      <c r="O349" s="1" t="s">
        <v>39</v>
      </c>
      <c r="P349" s="1" t="s">
        <v>217</v>
      </c>
      <c r="Q349" s="10">
        <v>19000</v>
      </c>
      <c r="R349" s="13">
        <f t="shared" si="109"/>
        <v>19000</v>
      </c>
      <c r="S349" s="1">
        <f t="shared" si="110"/>
        <v>1900</v>
      </c>
      <c r="T349" s="1">
        <v>0</v>
      </c>
      <c r="U349" s="1">
        <f t="shared" si="111"/>
        <v>0</v>
      </c>
      <c r="V349" s="10" t="s">
        <v>41</v>
      </c>
      <c r="W349" s="1" t="s">
        <v>144</v>
      </c>
      <c r="X349" s="14">
        <f t="shared" si="112"/>
        <v>20900</v>
      </c>
      <c r="Y349" s="14">
        <f t="shared" si="113"/>
        <v>19000</v>
      </c>
      <c r="Z349" s="2">
        <f t="shared" si="114"/>
        <v>0.90909090909090906</v>
      </c>
      <c r="AA349" s="19">
        <v>0</v>
      </c>
      <c r="AB349" s="1">
        <f t="shared" si="115"/>
        <v>-19000</v>
      </c>
      <c r="AC349" s="20">
        <f t="shared" si="120"/>
        <v>1</v>
      </c>
      <c r="AD349" s="21">
        <f t="shared" si="117"/>
        <v>1900</v>
      </c>
    </row>
    <row r="350" spans="1:30" ht="21" customHeight="1">
      <c r="A350" s="26">
        <f t="shared" si="107"/>
        <v>350</v>
      </c>
      <c r="B350" s="18">
        <v>10</v>
      </c>
      <c r="C350" s="46">
        <v>15</v>
      </c>
      <c r="D350" s="10" t="s">
        <v>70</v>
      </c>
      <c r="E350" s="9" t="s">
        <v>618</v>
      </c>
      <c r="F350" s="1">
        <v>4</v>
      </c>
      <c r="G350" s="11">
        <f t="shared" si="108"/>
        <v>88000</v>
      </c>
      <c r="H350" s="32"/>
      <c r="I350" s="12">
        <v>45947</v>
      </c>
      <c r="J350" s="96"/>
      <c r="K350" s="90"/>
      <c r="L350" s="12">
        <v>45945</v>
      </c>
      <c r="M350" s="12">
        <v>45945</v>
      </c>
      <c r="N350" s="1" t="s">
        <v>54</v>
      </c>
      <c r="O350" s="1" t="s">
        <v>143</v>
      </c>
      <c r="P350" s="1" t="s">
        <v>81</v>
      </c>
      <c r="Q350" s="10">
        <v>20000</v>
      </c>
      <c r="R350" s="13">
        <f t="shared" si="109"/>
        <v>80000</v>
      </c>
      <c r="S350" s="1">
        <f t="shared" si="110"/>
        <v>8000</v>
      </c>
      <c r="T350" s="1">
        <v>0</v>
      </c>
      <c r="U350" s="1">
        <f t="shared" si="111"/>
        <v>0</v>
      </c>
      <c r="V350" s="10" t="s">
        <v>41</v>
      </c>
      <c r="W350" s="1" t="s">
        <v>144</v>
      </c>
      <c r="X350" s="14">
        <f t="shared" si="112"/>
        <v>88000</v>
      </c>
      <c r="Y350" s="14">
        <f t="shared" si="113"/>
        <v>80000</v>
      </c>
      <c r="Z350" s="2">
        <f t="shared" si="114"/>
        <v>0.90909090909090906</v>
      </c>
      <c r="AA350" s="19">
        <v>0</v>
      </c>
      <c r="AB350" s="1">
        <f t="shared" si="115"/>
        <v>-80000</v>
      </c>
      <c r="AC350" s="20">
        <f t="shared" si="120"/>
        <v>1</v>
      </c>
      <c r="AD350" s="21">
        <f t="shared" si="117"/>
        <v>8000</v>
      </c>
    </row>
    <row r="351" spans="1:30" ht="21" customHeight="1">
      <c r="A351" s="26">
        <f t="shared" si="107"/>
        <v>351</v>
      </c>
      <c r="B351" s="18">
        <v>10</v>
      </c>
      <c r="C351" s="46">
        <v>15</v>
      </c>
      <c r="D351" s="10" t="s">
        <v>225</v>
      </c>
      <c r="E351" s="9" t="s">
        <v>619</v>
      </c>
      <c r="F351" s="1">
        <v>1</v>
      </c>
      <c r="G351" s="11">
        <f t="shared" si="108"/>
        <v>22000</v>
      </c>
      <c r="H351" s="32"/>
      <c r="I351" s="33"/>
      <c r="J351" s="96"/>
      <c r="K351" s="90"/>
      <c r="L351" s="12">
        <v>45966</v>
      </c>
      <c r="M351" s="12">
        <v>45954</v>
      </c>
      <c r="N351" s="1" t="s">
        <v>38</v>
      </c>
      <c r="O351" s="1" t="s">
        <v>39</v>
      </c>
      <c r="P351" s="1" t="s">
        <v>83</v>
      </c>
      <c r="Q351" s="10">
        <v>20000</v>
      </c>
      <c r="R351" s="13">
        <f t="shared" si="109"/>
        <v>20000</v>
      </c>
      <c r="S351" s="1">
        <f t="shared" si="110"/>
        <v>2000</v>
      </c>
      <c r="T351" s="1">
        <v>0</v>
      </c>
      <c r="U351" s="1">
        <f t="shared" si="111"/>
        <v>0</v>
      </c>
      <c r="V351" s="10" t="s">
        <v>41</v>
      </c>
      <c r="W351" s="1" t="s">
        <v>186</v>
      </c>
      <c r="X351" s="14">
        <f t="shared" si="112"/>
        <v>22000</v>
      </c>
      <c r="Y351" s="14">
        <f t="shared" si="113"/>
        <v>20000</v>
      </c>
      <c r="Z351" s="2">
        <f t="shared" si="114"/>
        <v>0.90909090909090906</v>
      </c>
      <c r="AA351" s="19">
        <v>0</v>
      </c>
      <c r="AB351" s="1">
        <f t="shared" si="115"/>
        <v>-20000</v>
      </c>
      <c r="AC351" s="20">
        <f t="shared" si="120"/>
        <v>1</v>
      </c>
      <c r="AD351" s="21">
        <f t="shared" si="117"/>
        <v>2000</v>
      </c>
    </row>
    <row r="352" spans="1:30" ht="21" customHeight="1">
      <c r="A352" s="26">
        <f t="shared" si="107"/>
        <v>352</v>
      </c>
      <c r="B352" s="18">
        <v>10</v>
      </c>
      <c r="C352" s="46">
        <v>15</v>
      </c>
      <c r="D352" s="10" t="s">
        <v>443</v>
      </c>
      <c r="E352" s="9" t="s">
        <v>620</v>
      </c>
      <c r="F352" s="1">
        <v>1</v>
      </c>
      <c r="G352" s="11">
        <f t="shared" si="108"/>
        <v>22000</v>
      </c>
      <c r="H352" s="32"/>
      <c r="I352" s="33"/>
      <c r="J352" s="96"/>
      <c r="K352" s="90"/>
      <c r="L352" s="25" t="s">
        <v>228</v>
      </c>
      <c r="M352" s="25" t="s">
        <v>597</v>
      </c>
      <c r="N352" s="1" t="s">
        <v>79</v>
      </c>
      <c r="O352" s="1"/>
      <c r="P352" s="1" t="s">
        <v>81</v>
      </c>
      <c r="Q352" s="10">
        <v>20000</v>
      </c>
      <c r="R352" s="13">
        <f t="shared" si="109"/>
        <v>20000</v>
      </c>
      <c r="S352" s="1">
        <f t="shared" si="110"/>
        <v>2000</v>
      </c>
      <c r="T352" s="1">
        <v>0</v>
      </c>
      <c r="U352" s="1">
        <f t="shared" si="111"/>
        <v>0</v>
      </c>
      <c r="V352" s="10" t="s">
        <v>41</v>
      </c>
      <c r="W352" s="1" t="s">
        <v>613</v>
      </c>
      <c r="X352" s="14">
        <f t="shared" si="112"/>
        <v>22000</v>
      </c>
      <c r="Y352" s="14">
        <f t="shared" si="113"/>
        <v>20000</v>
      </c>
      <c r="Z352" s="2">
        <f t="shared" si="114"/>
        <v>0.90909090909090906</v>
      </c>
      <c r="AA352" s="19">
        <v>0</v>
      </c>
      <c r="AB352" s="1">
        <f t="shared" si="115"/>
        <v>-20000</v>
      </c>
      <c r="AC352" s="20">
        <f t="shared" si="120"/>
        <v>1</v>
      </c>
      <c r="AD352" s="21">
        <f t="shared" si="117"/>
        <v>2000</v>
      </c>
    </row>
    <row r="353" spans="1:30" ht="21" customHeight="1">
      <c r="A353" s="26">
        <f t="shared" si="107"/>
        <v>353</v>
      </c>
      <c r="B353" s="18">
        <v>10</v>
      </c>
      <c r="C353" s="46">
        <v>20</v>
      </c>
      <c r="D353" s="1" t="s">
        <v>131</v>
      </c>
      <c r="E353" s="9" t="s">
        <v>132</v>
      </c>
      <c r="F353" s="10">
        <v>1</v>
      </c>
      <c r="G353" s="11">
        <f t="shared" si="108"/>
        <v>20000</v>
      </c>
      <c r="H353" s="31"/>
      <c r="I353" s="33"/>
      <c r="J353" s="96"/>
      <c r="K353" s="90"/>
      <c r="L353" s="25" t="s">
        <v>57</v>
      </c>
      <c r="M353" s="25" t="s">
        <v>57</v>
      </c>
      <c r="N353" s="1" t="s">
        <v>45</v>
      </c>
      <c r="O353" s="1" t="s">
        <v>133</v>
      </c>
      <c r="P353" s="1" t="s">
        <v>35</v>
      </c>
      <c r="Q353" s="10">
        <v>20000</v>
      </c>
      <c r="R353" s="13">
        <f t="shared" si="109"/>
        <v>20000</v>
      </c>
      <c r="S353" s="1">
        <v>0</v>
      </c>
      <c r="T353" s="1">
        <v>0</v>
      </c>
      <c r="U353" s="1">
        <f t="shared" si="111"/>
        <v>0</v>
      </c>
      <c r="V353" s="10" t="s">
        <v>36</v>
      </c>
      <c r="W353" s="1" t="s">
        <v>131</v>
      </c>
      <c r="X353" s="14">
        <f t="shared" si="112"/>
        <v>13950</v>
      </c>
      <c r="Y353" s="14">
        <f t="shared" si="113"/>
        <v>13950</v>
      </c>
      <c r="Z353" s="2">
        <f t="shared" si="114"/>
        <v>0.69750000000000001</v>
      </c>
      <c r="AA353" s="19">
        <v>6050</v>
      </c>
      <c r="AB353" s="1">
        <f t="shared" si="115"/>
        <v>-12681.81818181818</v>
      </c>
      <c r="AC353" s="22">
        <f t="shared" ref="AC353:AC354" si="121">((G353/1.1) - (AA353/1.1)) / (G353/1.1) * 1</f>
        <v>0.69750000000000001</v>
      </c>
      <c r="AD353" s="23">
        <f t="shared" si="117"/>
        <v>1268.1818181818198</v>
      </c>
    </row>
    <row r="354" spans="1:30" ht="21" customHeight="1">
      <c r="A354" s="26">
        <f t="shared" si="107"/>
        <v>354</v>
      </c>
      <c r="B354" s="18">
        <v>10</v>
      </c>
      <c r="C354" s="46">
        <v>20</v>
      </c>
      <c r="D354" s="1" t="s">
        <v>47</v>
      </c>
      <c r="E354" s="9" t="s">
        <v>621</v>
      </c>
      <c r="F354" s="10">
        <v>7</v>
      </c>
      <c r="G354" s="11">
        <f t="shared" si="108"/>
        <v>168000</v>
      </c>
      <c r="H354" s="31"/>
      <c r="I354" s="33"/>
      <c r="J354" s="96"/>
      <c r="K354" s="90"/>
      <c r="L354" s="12">
        <v>45950</v>
      </c>
      <c r="M354" s="12">
        <v>45950</v>
      </c>
      <c r="N354" s="1" t="s">
        <v>148</v>
      </c>
      <c r="O354" s="1" t="s">
        <v>107</v>
      </c>
      <c r="P354" s="1" t="s">
        <v>94</v>
      </c>
      <c r="Q354" s="10">
        <v>24000</v>
      </c>
      <c r="R354" s="13">
        <f t="shared" si="109"/>
        <v>168000</v>
      </c>
      <c r="S354" s="1">
        <v>0</v>
      </c>
      <c r="T354" s="1">
        <v>0</v>
      </c>
      <c r="U354" s="1">
        <f t="shared" si="111"/>
        <v>0</v>
      </c>
      <c r="V354" s="10" t="s">
        <v>41</v>
      </c>
      <c r="W354" s="1" t="s">
        <v>95</v>
      </c>
      <c r="X354" s="14">
        <f t="shared" si="112"/>
        <v>54430</v>
      </c>
      <c r="Y354" s="14">
        <f t="shared" si="113"/>
        <v>54430</v>
      </c>
      <c r="Z354" s="2">
        <f t="shared" si="114"/>
        <v>0.32398809523809524</v>
      </c>
      <c r="AA354" s="19">
        <v>113570</v>
      </c>
      <c r="AB354" s="1">
        <f t="shared" si="115"/>
        <v>-49481.818181818162</v>
      </c>
      <c r="AC354" s="22">
        <f t="shared" si="121"/>
        <v>0.32398809523809513</v>
      </c>
      <c r="AD354" s="23">
        <f t="shared" si="117"/>
        <v>4948.181818181838</v>
      </c>
    </row>
    <row r="355" spans="1:30" ht="21" customHeight="1">
      <c r="A355" s="26">
        <f t="shared" si="107"/>
        <v>355</v>
      </c>
      <c r="B355" s="18">
        <v>10</v>
      </c>
      <c r="C355" s="46">
        <v>20</v>
      </c>
      <c r="D355" s="10" t="s">
        <v>47</v>
      </c>
      <c r="E355" s="9" t="s">
        <v>622</v>
      </c>
      <c r="F355" s="1">
        <v>4</v>
      </c>
      <c r="G355" s="11">
        <f t="shared" si="108"/>
        <v>52800</v>
      </c>
      <c r="H355" s="31"/>
      <c r="I355" s="33"/>
      <c r="J355" s="96"/>
      <c r="K355" s="90"/>
      <c r="L355" s="12">
        <v>45950</v>
      </c>
      <c r="M355" s="12">
        <v>45950</v>
      </c>
      <c r="N355" s="1" t="s">
        <v>45</v>
      </c>
      <c r="O355" s="1" t="s">
        <v>520</v>
      </c>
      <c r="P355" s="1" t="s">
        <v>35</v>
      </c>
      <c r="Q355" s="10">
        <v>12000</v>
      </c>
      <c r="R355" s="13">
        <f t="shared" si="109"/>
        <v>48000</v>
      </c>
      <c r="S355" s="1">
        <f t="shared" ref="S355:S358" si="122">R355*0.1</f>
        <v>4800</v>
      </c>
      <c r="T355" s="1">
        <v>0</v>
      </c>
      <c r="U355" s="1">
        <f t="shared" si="111"/>
        <v>0</v>
      </c>
      <c r="V355" s="10" t="s">
        <v>561</v>
      </c>
      <c r="W355" s="1" t="s">
        <v>474</v>
      </c>
      <c r="X355" s="14">
        <f t="shared" si="112"/>
        <v>10700</v>
      </c>
      <c r="Y355" s="14">
        <f t="shared" si="113"/>
        <v>5900</v>
      </c>
      <c r="Z355" s="2">
        <f t="shared" si="114"/>
        <v>0.11174242424242424</v>
      </c>
      <c r="AA355" s="19">
        <v>42100</v>
      </c>
      <c r="AB355" s="1">
        <f t="shared" si="115"/>
        <v>-9727.2727272727207</v>
      </c>
      <c r="AC355" s="20">
        <f t="shared" ref="AC355:AC358" si="123">((G355/1.1) - (AA355/1.1)) / (G355/1.1) * 1</f>
        <v>0.20265151515151505</v>
      </c>
      <c r="AD355" s="21">
        <f t="shared" si="117"/>
        <v>972.72727272727934</v>
      </c>
    </row>
    <row r="356" spans="1:30" ht="21" customHeight="1">
      <c r="A356" s="26">
        <f t="shared" si="107"/>
        <v>356</v>
      </c>
      <c r="B356" s="18">
        <v>10</v>
      </c>
      <c r="C356" s="46">
        <v>20</v>
      </c>
      <c r="D356" s="10" t="s">
        <v>47</v>
      </c>
      <c r="E356" s="9" t="s">
        <v>622</v>
      </c>
      <c r="F356" s="1">
        <v>4</v>
      </c>
      <c r="G356" s="11">
        <f t="shared" si="108"/>
        <v>61600</v>
      </c>
      <c r="H356" s="31"/>
      <c r="I356" s="33"/>
      <c r="J356" s="96"/>
      <c r="K356" s="90"/>
      <c r="L356" s="12">
        <v>45950</v>
      </c>
      <c r="M356" s="12">
        <v>45950</v>
      </c>
      <c r="N356" s="1" t="s">
        <v>54</v>
      </c>
      <c r="O356" s="1"/>
      <c r="P356" s="1"/>
      <c r="Q356" s="10">
        <v>14000</v>
      </c>
      <c r="R356" s="13">
        <f t="shared" si="109"/>
        <v>56000</v>
      </c>
      <c r="S356" s="1">
        <f t="shared" si="122"/>
        <v>5600</v>
      </c>
      <c r="T356" s="1">
        <v>0</v>
      </c>
      <c r="U356" s="1">
        <f t="shared" si="111"/>
        <v>0</v>
      </c>
      <c r="V356" s="10" t="s">
        <v>50</v>
      </c>
      <c r="W356" s="1" t="s">
        <v>474</v>
      </c>
      <c r="X356" s="14">
        <f t="shared" si="112"/>
        <v>61600</v>
      </c>
      <c r="Y356" s="14">
        <f t="shared" si="113"/>
        <v>56000</v>
      </c>
      <c r="Z356" s="2">
        <f t="shared" si="114"/>
        <v>0.90909090909090906</v>
      </c>
      <c r="AA356" s="19">
        <v>0</v>
      </c>
      <c r="AB356" s="1">
        <f t="shared" si="115"/>
        <v>-55999.999999999993</v>
      </c>
      <c r="AC356" s="20">
        <f t="shared" si="123"/>
        <v>1</v>
      </c>
      <c r="AD356" s="21">
        <f t="shared" si="117"/>
        <v>5600.0000000000073</v>
      </c>
    </row>
    <row r="357" spans="1:30" ht="21" customHeight="1">
      <c r="A357" s="26">
        <f t="shared" si="107"/>
        <v>357</v>
      </c>
      <c r="B357" s="18">
        <v>10</v>
      </c>
      <c r="C357" s="46">
        <v>20</v>
      </c>
      <c r="D357" s="10" t="s">
        <v>47</v>
      </c>
      <c r="E357" s="9" t="s">
        <v>623</v>
      </c>
      <c r="F357" s="1">
        <v>1</v>
      </c>
      <c r="G357" s="11">
        <f t="shared" si="108"/>
        <v>13200</v>
      </c>
      <c r="H357" s="31"/>
      <c r="I357" s="33"/>
      <c r="J357" s="96"/>
      <c r="K357" s="90"/>
      <c r="L357" s="12">
        <v>45953</v>
      </c>
      <c r="M357" s="12">
        <v>45953</v>
      </c>
      <c r="N357" s="1" t="s">
        <v>45</v>
      </c>
      <c r="O357" s="1" t="s">
        <v>520</v>
      </c>
      <c r="P357" s="1" t="s">
        <v>35</v>
      </c>
      <c r="Q357" s="10">
        <v>12000</v>
      </c>
      <c r="R357" s="13">
        <f t="shared" si="109"/>
        <v>12000</v>
      </c>
      <c r="S357" s="1">
        <f t="shared" si="122"/>
        <v>1200</v>
      </c>
      <c r="T357" s="1">
        <v>0</v>
      </c>
      <c r="U357" s="1">
        <f t="shared" si="111"/>
        <v>0</v>
      </c>
      <c r="V357" s="10" t="s">
        <v>561</v>
      </c>
      <c r="W357" s="1" t="s">
        <v>454</v>
      </c>
      <c r="X357" s="14">
        <f t="shared" si="112"/>
        <v>3300</v>
      </c>
      <c r="Y357" s="14">
        <f t="shared" si="113"/>
        <v>2100</v>
      </c>
      <c r="Z357" s="2">
        <f t="shared" si="114"/>
        <v>0.15909090909090909</v>
      </c>
      <c r="AA357" s="19">
        <v>9900</v>
      </c>
      <c r="AB357" s="1">
        <f t="shared" si="115"/>
        <v>-2999.9999999999982</v>
      </c>
      <c r="AC357" s="20">
        <f t="shared" si="123"/>
        <v>0.24999999999999989</v>
      </c>
      <c r="AD357" s="21">
        <f t="shared" si="117"/>
        <v>300.00000000000182</v>
      </c>
    </row>
    <row r="358" spans="1:30" ht="21" customHeight="1">
      <c r="A358" s="26">
        <f t="shared" si="107"/>
        <v>358</v>
      </c>
      <c r="B358" s="18">
        <v>10</v>
      </c>
      <c r="C358" s="46">
        <v>29</v>
      </c>
      <c r="D358" s="10" t="s">
        <v>159</v>
      </c>
      <c r="E358" s="9" t="s">
        <v>624</v>
      </c>
      <c r="F358" s="1">
        <v>1</v>
      </c>
      <c r="G358" s="11">
        <f t="shared" si="108"/>
        <v>26400</v>
      </c>
      <c r="H358" s="31"/>
      <c r="I358" s="33"/>
      <c r="J358" s="96"/>
      <c r="K358" s="90"/>
      <c r="L358" s="25" t="s">
        <v>57</v>
      </c>
      <c r="M358" s="25" t="s">
        <v>57</v>
      </c>
      <c r="N358" s="1" t="s">
        <v>38</v>
      </c>
      <c r="O358" s="1" t="s">
        <v>39</v>
      </c>
      <c r="P358" s="1" t="s">
        <v>160</v>
      </c>
      <c r="Q358" s="10">
        <v>24000</v>
      </c>
      <c r="R358" s="13">
        <f t="shared" si="109"/>
        <v>24000</v>
      </c>
      <c r="S358" s="1">
        <f t="shared" si="122"/>
        <v>2400</v>
      </c>
      <c r="T358" s="1">
        <v>0</v>
      </c>
      <c r="U358" s="1">
        <f t="shared" si="111"/>
        <v>0</v>
      </c>
      <c r="V358" s="10" t="s">
        <v>41</v>
      </c>
      <c r="W358" s="1" t="s">
        <v>159</v>
      </c>
      <c r="X358" s="14">
        <f t="shared" si="112"/>
        <v>26400</v>
      </c>
      <c r="Y358" s="14">
        <f t="shared" si="113"/>
        <v>24000</v>
      </c>
      <c r="Z358" s="2">
        <f t="shared" si="114"/>
        <v>0.90909090909090906</v>
      </c>
      <c r="AA358" s="19">
        <v>0</v>
      </c>
      <c r="AB358" s="1">
        <f t="shared" si="115"/>
        <v>-23999.999999999996</v>
      </c>
      <c r="AC358" s="20">
        <f t="shared" si="123"/>
        <v>1</v>
      </c>
      <c r="AD358" s="21">
        <f t="shared" si="117"/>
        <v>2400.0000000000036</v>
      </c>
    </row>
    <row r="359" spans="1:30" ht="2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"/>
      <c r="AA359" s="1"/>
      <c r="AB359" s="1"/>
      <c r="AC359" s="1"/>
      <c r="AD359" s="1"/>
    </row>
    <row r="360" spans="1:30" ht="21" customHeight="1">
      <c r="A360" s="26">
        <f t="shared" ref="A360:A399" si="124">ROW()</f>
        <v>360</v>
      </c>
      <c r="B360" s="30">
        <v>11</v>
      </c>
      <c r="C360" s="47">
        <v>4</v>
      </c>
      <c r="D360" s="1" t="s">
        <v>87</v>
      </c>
      <c r="E360" s="9" t="s">
        <v>625</v>
      </c>
      <c r="F360" s="1">
        <v>1</v>
      </c>
      <c r="G360" s="11">
        <f t="shared" ref="G360:G399" si="125">R360+S360+T360+U360</f>
        <v>82500</v>
      </c>
      <c r="H360" s="31"/>
      <c r="I360" s="33"/>
      <c r="J360" s="96"/>
      <c r="K360" s="90"/>
      <c r="L360" s="12">
        <v>45967</v>
      </c>
      <c r="M360" s="40"/>
      <c r="N360" s="1" t="s">
        <v>38</v>
      </c>
      <c r="O360" s="1" t="s">
        <v>226</v>
      </c>
      <c r="P360" s="1" t="s">
        <v>227</v>
      </c>
      <c r="Q360" s="10">
        <v>75000</v>
      </c>
      <c r="R360" s="13">
        <f t="shared" ref="R360:R399" si="126">Q360*F360</f>
        <v>75000</v>
      </c>
      <c r="S360" s="1">
        <f t="shared" ref="S360:S366" si="127">R360*0.1</f>
        <v>7500</v>
      </c>
      <c r="T360" s="1">
        <v>0</v>
      </c>
      <c r="U360" s="1">
        <f t="shared" ref="U360:U399" si="128">T360*0.1</f>
        <v>0</v>
      </c>
      <c r="V360" s="10" t="s">
        <v>41</v>
      </c>
      <c r="W360" s="1" t="s">
        <v>87</v>
      </c>
      <c r="X360" s="14">
        <f t="shared" ref="X360:X399" si="129">G360-AA360</f>
        <v>40810</v>
      </c>
      <c r="Y360" s="14">
        <f t="shared" ref="Y360:Y399" si="130">X360-S360</f>
        <v>33310</v>
      </c>
      <c r="Z360" s="2">
        <f t="shared" ref="Z360:Z399" si="131">Y360/G360</f>
        <v>0.40375757575757576</v>
      </c>
      <c r="AA360" s="19">
        <v>41690</v>
      </c>
      <c r="AB360" s="1">
        <f t="shared" ref="AB360:AB399" si="132">(AA360/1.1)-(G360/1.1)</f>
        <v>-37100</v>
      </c>
      <c r="AC360" s="20">
        <f>((G360/1.1) - (AA360/1.1)) / (G360/1.1) * 1</f>
        <v>0.49466666666666664</v>
      </c>
      <c r="AD360" s="21">
        <f t="shared" ref="AD360:AD399" si="133">(G360 - (G360 / 1.1)) - (AA360 - (AA360 / 1.1))</f>
        <v>3710</v>
      </c>
    </row>
    <row r="361" spans="1:30" ht="21" customHeight="1">
      <c r="A361" s="26">
        <f t="shared" si="124"/>
        <v>361</v>
      </c>
      <c r="B361" s="30">
        <v>11</v>
      </c>
      <c r="C361" s="47">
        <v>4</v>
      </c>
      <c r="D361" s="10" t="s">
        <v>225</v>
      </c>
      <c r="E361" s="9" t="s">
        <v>626</v>
      </c>
      <c r="F361" s="1">
        <v>1</v>
      </c>
      <c r="G361" s="11">
        <f t="shared" si="125"/>
        <v>55000</v>
      </c>
      <c r="H361" s="32"/>
      <c r="I361" s="33"/>
      <c r="J361" s="96"/>
      <c r="K361" s="90"/>
      <c r="L361" s="12">
        <v>45966</v>
      </c>
      <c r="M361" s="12"/>
      <c r="N361" s="1" t="s">
        <v>38</v>
      </c>
      <c r="O361" s="1" t="s">
        <v>39</v>
      </c>
      <c r="P361" s="1" t="s">
        <v>83</v>
      </c>
      <c r="Q361" s="10">
        <v>20000</v>
      </c>
      <c r="R361" s="13">
        <f t="shared" si="126"/>
        <v>20000</v>
      </c>
      <c r="S361" s="1">
        <f t="shared" si="127"/>
        <v>2000</v>
      </c>
      <c r="T361" s="1">
        <v>30000</v>
      </c>
      <c r="U361" s="1">
        <f t="shared" si="128"/>
        <v>3000</v>
      </c>
      <c r="V361" s="10" t="s">
        <v>41</v>
      </c>
      <c r="W361" s="1" t="s">
        <v>186</v>
      </c>
      <c r="X361" s="14">
        <f t="shared" si="129"/>
        <v>10400</v>
      </c>
      <c r="Y361" s="14">
        <f t="shared" si="130"/>
        <v>8400</v>
      </c>
      <c r="Z361" s="2">
        <f t="shared" si="131"/>
        <v>0.15272727272727274</v>
      </c>
      <c r="AA361" s="19">
        <v>44600</v>
      </c>
      <c r="AB361" s="1">
        <f t="shared" si="132"/>
        <v>-9454.5454545454486</v>
      </c>
      <c r="AC361" s="20">
        <f t="shared" ref="AC361:AC362" si="134">((G361/1.1) - (AA361/1.1)) / (G361/1.1) * 1</f>
        <v>0.189090909090909</v>
      </c>
      <c r="AD361" s="21">
        <f t="shared" si="133"/>
        <v>945.45454545455141</v>
      </c>
    </row>
    <row r="362" spans="1:30" ht="21" customHeight="1">
      <c r="A362" s="26">
        <f t="shared" si="124"/>
        <v>362</v>
      </c>
      <c r="B362" s="30">
        <v>11</v>
      </c>
      <c r="C362" s="47">
        <v>4</v>
      </c>
      <c r="D362" s="10" t="s">
        <v>443</v>
      </c>
      <c r="E362" s="9" t="s">
        <v>627</v>
      </c>
      <c r="F362" s="1">
        <v>1</v>
      </c>
      <c r="G362" s="11">
        <f t="shared" si="125"/>
        <v>22000</v>
      </c>
      <c r="H362" s="32"/>
      <c r="I362" s="33"/>
      <c r="J362" s="96"/>
      <c r="K362" s="90"/>
      <c r="L362" s="25" t="s">
        <v>228</v>
      </c>
      <c r="M362" s="25" t="s">
        <v>597</v>
      </c>
      <c r="N362" s="1" t="s">
        <v>38</v>
      </c>
      <c r="O362" s="1" t="s">
        <v>39</v>
      </c>
      <c r="P362" s="1" t="s">
        <v>83</v>
      </c>
      <c r="Q362" s="10">
        <v>20000</v>
      </c>
      <c r="R362" s="13">
        <f t="shared" si="126"/>
        <v>20000</v>
      </c>
      <c r="S362" s="1">
        <f t="shared" si="127"/>
        <v>2000</v>
      </c>
      <c r="T362" s="1">
        <v>0</v>
      </c>
      <c r="U362" s="1">
        <f t="shared" si="128"/>
        <v>0</v>
      </c>
      <c r="V362" s="10" t="s">
        <v>41</v>
      </c>
      <c r="W362" s="1" t="s">
        <v>196</v>
      </c>
      <c r="X362" s="14">
        <f t="shared" si="129"/>
        <v>4400</v>
      </c>
      <c r="Y362" s="14">
        <f t="shared" si="130"/>
        <v>2400</v>
      </c>
      <c r="Z362" s="2">
        <f t="shared" si="131"/>
        <v>0.10909090909090909</v>
      </c>
      <c r="AA362" s="19">
        <v>17600</v>
      </c>
      <c r="AB362" s="1">
        <f t="shared" si="132"/>
        <v>-4000.0000000000018</v>
      </c>
      <c r="AC362" s="20">
        <f t="shared" si="134"/>
        <v>0.20000000000000009</v>
      </c>
      <c r="AD362" s="21">
        <f t="shared" si="133"/>
        <v>399.99999999999818</v>
      </c>
    </row>
    <row r="363" spans="1:30" ht="21" customHeight="1">
      <c r="A363" s="26">
        <f t="shared" si="124"/>
        <v>363</v>
      </c>
      <c r="B363" s="30">
        <v>11</v>
      </c>
      <c r="C363" s="47">
        <v>4</v>
      </c>
      <c r="D363" s="27" t="s">
        <v>47</v>
      </c>
      <c r="E363" s="9" t="s">
        <v>110</v>
      </c>
      <c r="F363" s="10">
        <v>1</v>
      </c>
      <c r="G363" s="11">
        <f t="shared" si="125"/>
        <v>473000</v>
      </c>
      <c r="H363" s="32"/>
      <c r="I363" s="33"/>
      <c r="J363" s="96"/>
      <c r="K363" s="90"/>
      <c r="L363" s="12">
        <v>45964</v>
      </c>
      <c r="M363" s="12">
        <v>45964</v>
      </c>
      <c r="N363" s="1" t="s">
        <v>111</v>
      </c>
      <c r="O363" s="1"/>
      <c r="P363" s="1" t="s">
        <v>44</v>
      </c>
      <c r="Q363" s="10">
        <v>430000</v>
      </c>
      <c r="R363" s="13">
        <f t="shared" si="126"/>
        <v>430000</v>
      </c>
      <c r="S363" s="1">
        <f t="shared" si="127"/>
        <v>43000</v>
      </c>
      <c r="T363" s="1">
        <v>0</v>
      </c>
      <c r="U363" s="1">
        <f t="shared" si="128"/>
        <v>0</v>
      </c>
      <c r="V363" s="10" t="s">
        <v>46</v>
      </c>
      <c r="W363" s="1" t="s">
        <v>218</v>
      </c>
      <c r="X363" s="14">
        <f t="shared" si="129"/>
        <v>252500</v>
      </c>
      <c r="Y363" s="14">
        <f t="shared" si="130"/>
        <v>209500</v>
      </c>
      <c r="Z363" s="2">
        <f t="shared" si="131"/>
        <v>0.44291754756871038</v>
      </c>
      <c r="AA363" s="19">
        <v>220500</v>
      </c>
      <c r="AB363" s="1">
        <f t="shared" si="132"/>
        <v>-229545.4545454545</v>
      </c>
      <c r="AC363" s="22">
        <f>((G363/1.1) - (AA363/1.1)) / (G363/1.1) * 1</f>
        <v>0.53382663847780121</v>
      </c>
      <c r="AD363" s="23">
        <f t="shared" si="133"/>
        <v>22954.5454545455</v>
      </c>
    </row>
    <row r="364" spans="1:30" ht="21" customHeight="1">
      <c r="A364" s="26">
        <f t="shared" si="124"/>
        <v>364</v>
      </c>
      <c r="B364" s="30">
        <v>11</v>
      </c>
      <c r="C364" s="47">
        <v>6</v>
      </c>
      <c r="D364" s="10" t="s">
        <v>225</v>
      </c>
      <c r="E364" s="9" t="s">
        <v>628</v>
      </c>
      <c r="F364" s="1">
        <v>1</v>
      </c>
      <c r="G364" s="11">
        <f t="shared" si="125"/>
        <v>22000</v>
      </c>
      <c r="H364" s="32"/>
      <c r="I364" s="33"/>
      <c r="J364" s="96"/>
      <c r="K364" s="90"/>
      <c r="L364" s="12">
        <v>46001</v>
      </c>
      <c r="M364" s="25" t="s">
        <v>57</v>
      </c>
      <c r="N364" s="1" t="s">
        <v>38</v>
      </c>
      <c r="O364" s="1" t="s">
        <v>39</v>
      </c>
      <c r="P364" s="1" t="s">
        <v>83</v>
      </c>
      <c r="Q364" s="10">
        <v>20000</v>
      </c>
      <c r="R364" s="13">
        <f t="shared" si="126"/>
        <v>20000</v>
      </c>
      <c r="S364" s="1">
        <f t="shared" si="127"/>
        <v>2000</v>
      </c>
      <c r="T364" s="1">
        <v>0</v>
      </c>
      <c r="U364" s="1">
        <f t="shared" si="128"/>
        <v>0</v>
      </c>
      <c r="V364" s="10" t="s">
        <v>41</v>
      </c>
      <c r="W364" s="1" t="s">
        <v>186</v>
      </c>
      <c r="X364" s="14">
        <f t="shared" si="129"/>
        <v>22000</v>
      </c>
      <c r="Y364" s="14">
        <f t="shared" si="130"/>
        <v>20000</v>
      </c>
      <c r="Z364" s="2">
        <f t="shared" si="131"/>
        <v>0.90909090909090906</v>
      </c>
      <c r="AA364" s="19">
        <v>0</v>
      </c>
      <c r="AB364" s="1">
        <f t="shared" si="132"/>
        <v>-20000</v>
      </c>
      <c r="AC364" s="20">
        <f>((G364/1.1) - (AA364/1.1)) / (G364/1.1) * 1</f>
        <v>1</v>
      </c>
      <c r="AD364" s="21">
        <f t="shared" si="133"/>
        <v>2000</v>
      </c>
    </row>
    <row r="365" spans="1:30" ht="21" customHeight="1">
      <c r="A365" s="26">
        <f t="shared" si="124"/>
        <v>365</v>
      </c>
      <c r="B365" s="30">
        <v>11</v>
      </c>
      <c r="C365" s="30">
        <v>17</v>
      </c>
      <c r="D365" s="27" t="s">
        <v>96</v>
      </c>
      <c r="E365" s="9" t="s">
        <v>97</v>
      </c>
      <c r="F365" s="10">
        <v>5000</v>
      </c>
      <c r="G365" s="11">
        <f t="shared" si="125"/>
        <v>330000</v>
      </c>
      <c r="H365" s="32"/>
      <c r="I365" s="25" t="s">
        <v>220</v>
      </c>
      <c r="J365" s="96">
        <v>45980</v>
      </c>
      <c r="K365" s="90"/>
      <c r="L365" s="12">
        <v>45980</v>
      </c>
      <c r="M365" s="12">
        <v>45980</v>
      </c>
      <c r="N365" s="1" t="s">
        <v>98</v>
      </c>
      <c r="O365" s="1" t="s">
        <v>99</v>
      </c>
      <c r="P365" s="1" t="s">
        <v>100</v>
      </c>
      <c r="Q365" s="10">
        <v>60</v>
      </c>
      <c r="R365" s="13">
        <f t="shared" si="126"/>
        <v>300000</v>
      </c>
      <c r="S365" s="1">
        <f t="shared" si="127"/>
        <v>30000</v>
      </c>
      <c r="T365" s="1">
        <v>0</v>
      </c>
      <c r="U365" s="1">
        <f t="shared" si="128"/>
        <v>0</v>
      </c>
      <c r="V365" s="10" t="s">
        <v>46</v>
      </c>
      <c r="W365" s="1" t="s">
        <v>96</v>
      </c>
      <c r="X365" s="14">
        <f t="shared" si="129"/>
        <v>151280</v>
      </c>
      <c r="Y365" s="14">
        <f t="shared" si="130"/>
        <v>121280</v>
      </c>
      <c r="Z365" s="2">
        <f t="shared" si="131"/>
        <v>0.36751515151515152</v>
      </c>
      <c r="AA365" s="19">
        <v>178720</v>
      </c>
      <c r="AB365" s="1">
        <f t="shared" si="132"/>
        <v>-137527.27272727274</v>
      </c>
      <c r="AC365" s="22">
        <f t="shared" ref="AC365:AC378" si="135">((G365/1.1) - (AA365/1.1)) / (G365/1.1) * 1</f>
        <v>0.45842424242424246</v>
      </c>
      <c r="AD365" s="23">
        <f t="shared" si="133"/>
        <v>13752.727272727265</v>
      </c>
    </row>
    <row r="366" spans="1:30" ht="21" customHeight="1">
      <c r="A366" s="26">
        <f t="shared" si="124"/>
        <v>366</v>
      </c>
      <c r="B366" s="30">
        <v>11</v>
      </c>
      <c r="C366" s="30">
        <v>17</v>
      </c>
      <c r="D366" s="10" t="s">
        <v>47</v>
      </c>
      <c r="E366" s="9" t="s">
        <v>629</v>
      </c>
      <c r="F366" s="10">
        <v>1</v>
      </c>
      <c r="G366" s="11">
        <f t="shared" si="125"/>
        <v>22000</v>
      </c>
      <c r="H366" s="32"/>
      <c r="I366" s="33"/>
      <c r="J366" s="96"/>
      <c r="K366" s="90"/>
      <c r="L366" s="1"/>
      <c r="M366" s="1"/>
      <c r="N366" s="1"/>
      <c r="O366" s="1"/>
      <c r="P366" s="1" t="s">
        <v>630</v>
      </c>
      <c r="Q366" s="10">
        <v>20000</v>
      </c>
      <c r="R366" s="13">
        <f t="shared" si="126"/>
        <v>20000</v>
      </c>
      <c r="S366" s="1">
        <f t="shared" si="127"/>
        <v>2000</v>
      </c>
      <c r="T366" s="1">
        <v>0</v>
      </c>
      <c r="U366" s="1">
        <f t="shared" si="128"/>
        <v>0</v>
      </c>
      <c r="V366" s="10" t="s">
        <v>41</v>
      </c>
      <c r="W366" s="1" t="s">
        <v>570</v>
      </c>
      <c r="X366" s="14">
        <f t="shared" si="129"/>
        <v>22000</v>
      </c>
      <c r="Y366" s="14">
        <f t="shared" si="130"/>
        <v>20000</v>
      </c>
      <c r="Z366" s="2">
        <f t="shared" si="131"/>
        <v>0.90909090909090906</v>
      </c>
      <c r="AA366" s="19">
        <v>0</v>
      </c>
      <c r="AB366" s="1">
        <f t="shared" si="132"/>
        <v>-20000</v>
      </c>
      <c r="AC366" s="22">
        <f t="shared" si="135"/>
        <v>1</v>
      </c>
      <c r="AD366" s="23">
        <f t="shared" si="133"/>
        <v>2000</v>
      </c>
    </row>
    <row r="367" spans="1:30" ht="21" customHeight="1">
      <c r="A367" s="26">
        <f t="shared" si="124"/>
        <v>367</v>
      </c>
      <c r="B367" s="30">
        <v>11</v>
      </c>
      <c r="C367" s="30">
        <v>19</v>
      </c>
      <c r="D367" s="10" t="s">
        <v>162</v>
      </c>
      <c r="E367" s="9" t="s">
        <v>631</v>
      </c>
      <c r="F367" s="10">
        <v>4</v>
      </c>
      <c r="G367" s="11">
        <f t="shared" si="125"/>
        <v>40000</v>
      </c>
      <c r="H367" s="32"/>
      <c r="I367" s="25" t="s">
        <v>220</v>
      </c>
      <c r="J367" s="96"/>
      <c r="K367" s="90"/>
      <c r="L367" s="1"/>
      <c r="M367" s="1"/>
      <c r="N367" s="1"/>
      <c r="O367" s="1"/>
      <c r="P367" s="1" t="s">
        <v>35</v>
      </c>
      <c r="Q367" s="10">
        <v>10000</v>
      </c>
      <c r="R367" s="13">
        <f t="shared" si="126"/>
        <v>40000</v>
      </c>
      <c r="S367" s="1">
        <v>0</v>
      </c>
      <c r="T367" s="1">
        <v>0</v>
      </c>
      <c r="U367" s="1">
        <f t="shared" si="128"/>
        <v>0</v>
      </c>
      <c r="V367" s="10" t="s">
        <v>36</v>
      </c>
      <c r="W367" s="1" t="s">
        <v>162</v>
      </c>
      <c r="X367" s="14">
        <f t="shared" si="129"/>
        <v>24740</v>
      </c>
      <c r="Y367" s="14">
        <f t="shared" si="130"/>
        <v>24740</v>
      </c>
      <c r="Z367" s="2">
        <f t="shared" si="131"/>
        <v>0.61850000000000005</v>
      </c>
      <c r="AA367" s="19">
        <v>15260</v>
      </c>
      <c r="AB367" s="1">
        <f t="shared" si="132"/>
        <v>-22490.909090909088</v>
      </c>
      <c r="AC367" s="22">
        <f t="shared" si="135"/>
        <v>0.61849999999999994</v>
      </c>
      <c r="AD367" s="23">
        <f t="shared" si="133"/>
        <v>2249.0909090909117</v>
      </c>
    </row>
    <row r="368" spans="1:30" ht="21" customHeight="1">
      <c r="A368" s="26">
        <f t="shared" si="124"/>
        <v>368</v>
      </c>
      <c r="B368" s="30">
        <v>11</v>
      </c>
      <c r="C368" s="30">
        <v>19</v>
      </c>
      <c r="D368" s="10" t="s">
        <v>162</v>
      </c>
      <c r="E368" s="9" t="s">
        <v>632</v>
      </c>
      <c r="F368" s="10">
        <v>4</v>
      </c>
      <c r="G368" s="11">
        <f t="shared" si="125"/>
        <v>40000</v>
      </c>
      <c r="H368" s="32"/>
      <c r="I368" s="25" t="s">
        <v>220</v>
      </c>
      <c r="J368" s="96"/>
      <c r="K368" s="90"/>
      <c r="L368" s="1"/>
      <c r="M368" s="1"/>
      <c r="N368" s="1"/>
      <c r="O368" s="1"/>
      <c r="P368" s="1" t="s">
        <v>35</v>
      </c>
      <c r="Q368" s="10">
        <v>10000</v>
      </c>
      <c r="R368" s="13">
        <f t="shared" si="126"/>
        <v>40000</v>
      </c>
      <c r="S368" s="1">
        <v>0</v>
      </c>
      <c r="T368" s="1">
        <v>0</v>
      </c>
      <c r="U368" s="1">
        <f t="shared" si="128"/>
        <v>0</v>
      </c>
      <c r="V368" s="10" t="s">
        <v>36</v>
      </c>
      <c r="W368" s="1" t="s">
        <v>162</v>
      </c>
      <c r="X368" s="14">
        <f t="shared" si="129"/>
        <v>21220</v>
      </c>
      <c r="Y368" s="14">
        <f t="shared" si="130"/>
        <v>21220</v>
      </c>
      <c r="Z368" s="2">
        <f t="shared" si="131"/>
        <v>0.53049999999999997</v>
      </c>
      <c r="AA368" s="19">
        <v>18780</v>
      </c>
      <c r="AB368" s="1">
        <f t="shared" si="132"/>
        <v>-19290.909090909088</v>
      </c>
      <c r="AC368" s="22">
        <f t="shared" si="135"/>
        <v>0.53049999999999997</v>
      </c>
      <c r="AD368" s="23">
        <f t="shared" si="133"/>
        <v>1929.0909090909117</v>
      </c>
    </row>
    <row r="369" spans="1:30" ht="21" customHeight="1">
      <c r="A369" s="26">
        <f t="shared" si="124"/>
        <v>369</v>
      </c>
      <c r="B369" s="30">
        <v>11</v>
      </c>
      <c r="C369" s="30">
        <v>19</v>
      </c>
      <c r="D369" s="10" t="s">
        <v>47</v>
      </c>
      <c r="E369" s="9" t="s">
        <v>633</v>
      </c>
      <c r="F369" s="10">
        <v>2</v>
      </c>
      <c r="G369" s="11">
        <f t="shared" si="125"/>
        <v>24000</v>
      </c>
      <c r="H369" s="32"/>
      <c r="I369" s="33"/>
      <c r="J369" s="96"/>
      <c r="K369" s="90"/>
      <c r="L369" s="12">
        <v>45980</v>
      </c>
      <c r="M369" s="12">
        <v>45980</v>
      </c>
      <c r="N369" s="1"/>
      <c r="O369" s="1"/>
      <c r="P369" s="1" t="s">
        <v>35</v>
      </c>
      <c r="Q369" s="10">
        <v>12000</v>
      </c>
      <c r="R369" s="13">
        <f t="shared" si="126"/>
        <v>24000</v>
      </c>
      <c r="S369" s="1">
        <v>0</v>
      </c>
      <c r="T369" s="1">
        <v>0</v>
      </c>
      <c r="U369" s="1">
        <f t="shared" si="128"/>
        <v>0</v>
      </c>
      <c r="V369" s="10" t="s">
        <v>36</v>
      </c>
      <c r="W369" s="1" t="s">
        <v>474</v>
      </c>
      <c r="X369" s="14">
        <f t="shared" si="129"/>
        <v>1700</v>
      </c>
      <c r="Y369" s="14">
        <f t="shared" si="130"/>
        <v>1700</v>
      </c>
      <c r="Z369" s="2">
        <f t="shared" si="131"/>
        <v>7.0833333333333331E-2</v>
      </c>
      <c r="AA369" s="19">
        <v>22300</v>
      </c>
      <c r="AB369" s="1">
        <f t="shared" si="132"/>
        <v>-1545.4545454545441</v>
      </c>
      <c r="AC369" s="22">
        <f t="shared" si="135"/>
        <v>7.0833333333333276E-2</v>
      </c>
      <c r="AD369" s="23">
        <f t="shared" si="133"/>
        <v>154.54545454545587</v>
      </c>
    </row>
    <row r="370" spans="1:30" ht="21" customHeight="1">
      <c r="A370" s="26">
        <f t="shared" si="124"/>
        <v>370</v>
      </c>
      <c r="B370" s="30">
        <v>11</v>
      </c>
      <c r="C370" s="30">
        <v>19</v>
      </c>
      <c r="D370" s="10" t="s">
        <v>47</v>
      </c>
      <c r="E370" s="9" t="s">
        <v>634</v>
      </c>
      <c r="F370" s="10">
        <v>2</v>
      </c>
      <c r="G370" s="11">
        <f t="shared" si="125"/>
        <v>28000</v>
      </c>
      <c r="H370" s="32"/>
      <c r="I370" s="33"/>
      <c r="J370" s="96"/>
      <c r="K370" s="90"/>
      <c r="L370" s="12">
        <v>45980</v>
      </c>
      <c r="M370" s="12">
        <v>45980</v>
      </c>
      <c r="N370" s="1"/>
      <c r="O370" s="1"/>
      <c r="P370" s="1" t="s">
        <v>35</v>
      </c>
      <c r="Q370" s="10">
        <v>14000</v>
      </c>
      <c r="R370" s="13">
        <f t="shared" si="126"/>
        <v>28000</v>
      </c>
      <c r="S370" s="1">
        <v>0</v>
      </c>
      <c r="T370" s="1">
        <v>0</v>
      </c>
      <c r="U370" s="1">
        <f t="shared" si="128"/>
        <v>0</v>
      </c>
      <c r="V370" s="10" t="s">
        <v>36</v>
      </c>
      <c r="W370" s="1" t="s">
        <v>474</v>
      </c>
      <c r="X370" s="14">
        <f t="shared" si="129"/>
        <v>8000</v>
      </c>
      <c r="Y370" s="14">
        <f t="shared" si="130"/>
        <v>8000</v>
      </c>
      <c r="Z370" s="2">
        <f t="shared" si="131"/>
        <v>0.2857142857142857</v>
      </c>
      <c r="AA370" s="19">
        <v>20000</v>
      </c>
      <c r="AB370" s="1">
        <f t="shared" si="132"/>
        <v>-7272.7272727272721</v>
      </c>
      <c r="AC370" s="22">
        <f t="shared" si="135"/>
        <v>0.2857142857142857</v>
      </c>
      <c r="AD370" s="23">
        <f t="shared" si="133"/>
        <v>727.27272727272793</v>
      </c>
    </row>
    <row r="371" spans="1:30" ht="21" customHeight="1">
      <c r="A371" s="26">
        <f t="shared" si="124"/>
        <v>371</v>
      </c>
      <c r="B371" s="30">
        <v>11</v>
      </c>
      <c r="C371" s="30">
        <v>19</v>
      </c>
      <c r="D371" s="10" t="s">
        <v>47</v>
      </c>
      <c r="E371" s="9" t="s">
        <v>629</v>
      </c>
      <c r="F371" s="10">
        <v>1</v>
      </c>
      <c r="G371" s="11">
        <f t="shared" si="125"/>
        <v>20000</v>
      </c>
      <c r="H371" s="32"/>
      <c r="I371" s="33"/>
      <c r="J371" s="96"/>
      <c r="K371" s="90"/>
      <c r="L371" s="12">
        <v>45980</v>
      </c>
      <c r="M371" s="12">
        <v>45980</v>
      </c>
      <c r="N371" s="1"/>
      <c r="O371" s="1"/>
      <c r="P371" s="1" t="s">
        <v>630</v>
      </c>
      <c r="Q371" s="10">
        <v>20000</v>
      </c>
      <c r="R371" s="13">
        <f t="shared" si="126"/>
        <v>20000</v>
      </c>
      <c r="S371" s="1">
        <v>0</v>
      </c>
      <c r="T371" s="1">
        <v>0</v>
      </c>
      <c r="U371" s="1">
        <f t="shared" si="128"/>
        <v>0</v>
      </c>
      <c r="V371" s="10" t="s">
        <v>36</v>
      </c>
      <c r="W371" s="1" t="s">
        <v>570</v>
      </c>
      <c r="X371" s="14">
        <f t="shared" si="129"/>
        <v>7350</v>
      </c>
      <c r="Y371" s="14">
        <f t="shared" si="130"/>
        <v>7350</v>
      </c>
      <c r="Z371" s="2">
        <f t="shared" si="131"/>
        <v>0.36749999999999999</v>
      </c>
      <c r="AA371" s="19">
        <v>12650</v>
      </c>
      <c r="AB371" s="1">
        <f t="shared" si="132"/>
        <v>-6681.818181818182</v>
      </c>
      <c r="AC371" s="22">
        <f t="shared" si="135"/>
        <v>0.36750000000000005</v>
      </c>
      <c r="AD371" s="23">
        <f t="shared" si="133"/>
        <v>668.18181818181802</v>
      </c>
    </row>
    <row r="372" spans="1:30" ht="21" customHeight="1">
      <c r="A372" s="26">
        <f t="shared" si="124"/>
        <v>372</v>
      </c>
      <c r="B372" s="30">
        <v>11</v>
      </c>
      <c r="C372" s="30">
        <v>19</v>
      </c>
      <c r="D372" s="10" t="s">
        <v>47</v>
      </c>
      <c r="E372" s="9" t="s">
        <v>635</v>
      </c>
      <c r="F372" s="10">
        <v>1</v>
      </c>
      <c r="G372" s="11">
        <f t="shared" si="125"/>
        <v>12000</v>
      </c>
      <c r="H372" s="32"/>
      <c r="I372" s="33"/>
      <c r="J372" s="96"/>
      <c r="K372" s="90"/>
      <c r="L372" s="12">
        <v>45986</v>
      </c>
      <c r="M372" s="12">
        <v>45986</v>
      </c>
      <c r="N372" s="1" t="s">
        <v>45</v>
      </c>
      <c r="O372" s="1" t="s">
        <v>520</v>
      </c>
      <c r="P372" s="1" t="s">
        <v>35</v>
      </c>
      <c r="Q372" s="10">
        <v>12000</v>
      </c>
      <c r="R372" s="13">
        <f t="shared" si="126"/>
        <v>12000</v>
      </c>
      <c r="S372" s="1">
        <v>0</v>
      </c>
      <c r="T372" s="1">
        <v>0</v>
      </c>
      <c r="U372" s="1">
        <f t="shared" si="128"/>
        <v>0</v>
      </c>
      <c r="V372" s="10" t="s">
        <v>561</v>
      </c>
      <c r="W372" s="1" t="s">
        <v>474</v>
      </c>
      <c r="X372" s="14">
        <f t="shared" si="129"/>
        <v>-650</v>
      </c>
      <c r="Y372" s="14">
        <f t="shared" si="130"/>
        <v>-650</v>
      </c>
      <c r="Z372" s="2">
        <f t="shared" si="131"/>
        <v>-5.4166666666666669E-2</v>
      </c>
      <c r="AA372" s="19">
        <v>12650</v>
      </c>
      <c r="AB372" s="1">
        <f t="shared" si="132"/>
        <v>590.90909090909008</v>
      </c>
      <c r="AC372" s="22">
        <f t="shared" si="135"/>
        <v>-5.4166666666666599E-2</v>
      </c>
      <c r="AD372" s="23">
        <f t="shared" si="133"/>
        <v>-59.090909090909918</v>
      </c>
    </row>
    <row r="373" spans="1:30" ht="21" customHeight="1">
      <c r="A373" s="26">
        <f t="shared" si="124"/>
        <v>373</v>
      </c>
      <c r="B373" s="30">
        <v>11</v>
      </c>
      <c r="C373" s="47">
        <v>25</v>
      </c>
      <c r="D373" s="1" t="s">
        <v>70</v>
      </c>
      <c r="E373" s="9" t="s">
        <v>636</v>
      </c>
      <c r="F373" s="10">
        <v>1</v>
      </c>
      <c r="G373" s="11">
        <f t="shared" si="125"/>
        <v>30800</v>
      </c>
      <c r="H373" s="32"/>
      <c r="I373" s="12">
        <v>45992</v>
      </c>
      <c r="J373" s="96"/>
      <c r="K373" s="90"/>
      <c r="L373" s="12">
        <v>45986</v>
      </c>
      <c r="M373" s="12">
        <v>45986</v>
      </c>
      <c r="N373" s="1" t="s">
        <v>38</v>
      </c>
      <c r="O373" s="1" t="s">
        <v>39</v>
      </c>
      <c r="P373" s="1" t="s">
        <v>637</v>
      </c>
      <c r="Q373" s="10">
        <v>25000</v>
      </c>
      <c r="R373" s="13">
        <f t="shared" si="126"/>
        <v>25000</v>
      </c>
      <c r="S373" s="1">
        <f t="shared" ref="S373:S384" si="136">R373*0.1</f>
        <v>2500</v>
      </c>
      <c r="T373" s="1">
        <v>3000</v>
      </c>
      <c r="U373" s="1">
        <f t="shared" si="128"/>
        <v>300</v>
      </c>
      <c r="V373" s="10" t="s">
        <v>36</v>
      </c>
      <c r="W373" s="1" t="s">
        <v>161</v>
      </c>
      <c r="X373" s="14">
        <f t="shared" si="129"/>
        <v>30800</v>
      </c>
      <c r="Y373" s="14">
        <f t="shared" si="130"/>
        <v>28300</v>
      </c>
      <c r="Z373" s="2">
        <f t="shared" si="131"/>
        <v>0.91883116883116878</v>
      </c>
      <c r="AA373" s="19">
        <v>0</v>
      </c>
      <c r="AB373" s="1">
        <f t="shared" si="132"/>
        <v>-27999.999999999996</v>
      </c>
      <c r="AC373" s="20">
        <f t="shared" si="135"/>
        <v>1</v>
      </c>
      <c r="AD373" s="21">
        <f t="shared" si="133"/>
        <v>2800.0000000000036</v>
      </c>
    </row>
    <row r="374" spans="1:30" ht="21" customHeight="1">
      <c r="A374" s="26">
        <f t="shared" si="124"/>
        <v>374</v>
      </c>
      <c r="B374" s="30">
        <v>11</v>
      </c>
      <c r="C374" s="47">
        <v>25</v>
      </c>
      <c r="D374" s="1" t="s">
        <v>47</v>
      </c>
      <c r="E374" s="9" t="s">
        <v>638</v>
      </c>
      <c r="F374" s="10">
        <v>12</v>
      </c>
      <c r="G374" s="11">
        <f t="shared" si="125"/>
        <v>264000</v>
      </c>
      <c r="H374" s="32"/>
      <c r="I374" s="33"/>
      <c r="J374" s="96"/>
      <c r="K374" s="90"/>
      <c r="L374" s="12">
        <v>45986</v>
      </c>
      <c r="M374" s="12">
        <v>45986</v>
      </c>
      <c r="N374" s="1" t="s">
        <v>42</v>
      </c>
      <c r="O374" s="1" t="s">
        <v>639</v>
      </c>
      <c r="P374" s="1" t="s">
        <v>72</v>
      </c>
      <c r="Q374" s="10">
        <v>20000</v>
      </c>
      <c r="R374" s="13">
        <f t="shared" si="126"/>
        <v>240000</v>
      </c>
      <c r="S374" s="1">
        <f t="shared" si="136"/>
        <v>24000</v>
      </c>
      <c r="T374" s="1">
        <v>0</v>
      </c>
      <c r="U374" s="1">
        <f t="shared" si="128"/>
        <v>0</v>
      </c>
      <c r="V374" s="10" t="s">
        <v>41</v>
      </c>
      <c r="W374" s="1" t="s">
        <v>454</v>
      </c>
      <c r="X374" s="14">
        <f t="shared" si="129"/>
        <v>30360</v>
      </c>
      <c r="Y374" s="14">
        <f t="shared" si="130"/>
        <v>6360</v>
      </c>
      <c r="Z374" s="2">
        <f t="shared" si="131"/>
        <v>2.409090909090909E-2</v>
      </c>
      <c r="AA374" s="19">
        <v>233640</v>
      </c>
      <c r="AB374" s="1">
        <f t="shared" si="132"/>
        <v>-27600</v>
      </c>
      <c r="AC374" s="20">
        <f t="shared" si="135"/>
        <v>0.11500000000000002</v>
      </c>
      <c r="AD374" s="21">
        <f t="shared" si="133"/>
        <v>2760</v>
      </c>
    </row>
    <row r="375" spans="1:30" ht="21" customHeight="1">
      <c r="A375" s="26">
        <f t="shared" si="124"/>
        <v>375</v>
      </c>
      <c r="B375" s="30">
        <v>11</v>
      </c>
      <c r="C375" s="47">
        <v>25</v>
      </c>
      <c r="D375" s="1" t="s">
        <v>47</v>
      </c>
      <c r="E375" s="9" t="s">
        <v>638</v>
      </c>
      <c r="F375" s="10">
        <v>2</v>
      </c>
      <c r="G375" s="11">
        <f t="shared" si="125"/>
        <v>44000</v>
      </c>
      <c r="H375" s="32"/>
      <c r="I375" s="33"/>
      <c r="J375" s="96"/>
      <c r="K375" s="90"/>
      <c r="L375" s="12">
        <v>45986</v>
      </c>
      <c r="M375" s="12">
        <v>45986</v>
      </c>
      <c r="N375" s="1" t="s">
        <v>79</v>
      </c>
      <c r="O375" s="1" t="s">
        <v>143</v>
      </c>
      <c r="P375" s="1" t="s">
        <v>81</v>
      </c>
      <c r="Q375" s="10">
        <v>20000</v>
      </c>
      <c r="R375" s="13">
        <f t="shared" si="126"/>
        <v>40000</v>
      </c>
      <c r="S375" s="1">
        <f t="shared" si="136"/>
        <v>4000</v>
      </c>
      <c r="T375" s="1">
        <v>0</v>
      </c>
      <c r="U375" s="1">
        <f t="shared" si="128"/>
        <v>0</v>
      </c>
      <c r="V375" s="10" t="s">
        <v>41</v>
      </c>
      <c r="W375" s="1" t="s">
        <v>454</v>
      </c>
      <c r="X375" s="14">
        <f t="shared" si="129"/>
        <v>28600</v>
      </c>
      <c r="Y375" s="14">
        <f t="shared" si="130"/>
        <v>24600</v>
      </c>
      <c r="Z375" s="2">
        <f t="shared" si="131"/>
        <v>0.55909090909090908</v>
      </c>
      <c r="AA375" s="19">
        <v>15400</v>
      </c>
      <c r="AB375" s="1">
        <f t="shared" si="132"/>
        <v>-26000</v>
      </c>
      <c r="AC375" s="20">
        <f t="shared" si="135"/>
        <v>0.65</v>
      </c>
      <c r="AD375" s="21">
        <f t="shared" si="133"/>
        <v>2599.9999999999982</v>
      </c>
    </row>
    <row r="376" spans="1:30" ht="21" customHeight="1">
      <c r="A376" s="26">
        <f t="shared" si="124"/>
        <v>376</v>
      </c>
      <c r="B376" s="30">
        <v>11</v>
      </c>
      <c r="C376" s="47">
        <v>25</v>
      </c>
      <c r="D376" s="1" t="s">
        <v>47</v>
      </c>
      <c r="E376" s="9" t="s">
        <v>638</v>
      </c>
      <c r="F376" s="10">
        <v>1</v>
      </c>
      <c r="G376" s="11">
        <f t="shared" si="125"/>
        <v>73700</v>
      </c>
      <c r="H376" s="32"/>
      <c r="I376" s="33"/>
      <c r="J376" s="96"/>
      <c r="K376" s="90"/>
      <c r="L376" s="12">
        <v>45986</v>
      </c>
      <c r="M376" s="12">
        <v>45986</v>
      </c>
      <c r="N376" s="1" t="s">
        <v>76</v>
      </c>
      <c r="O376" s="1" t="s">
        <v>640</v>
      </c>
      <c r="P376" s="1" t="s">
        <v>641</v>
      </c>
      <c r="Q376" s="10">
        <v>67000</v>
      </c>
      <c r="R376" s="13">
        <f t="shared" si="126"/>
        <v>67000</v>
      </c>
      <c r="S376" s="1">
        <f t="shared" si="136"/>
        <v>6700</v>
      </c>
      <c r="T376" s="1">
        <v>0</v>
      </c>
      <c r="U376" s="1">
        <f t="shared" si="128"/>
        <v>0</v>
      </c>
      <c r="V376" s="10" t="s">
        <v>36</v>
      </c>
      <c r="W376" s="1" t="s">
        <v>454</v>
      </c>
      <c r="X376" s="14">
        <f t="shared" si="129"/>
        <v>29070</v>
      </c>
      <c r="Y376" s="14">
        <f t="shared" si="130"/>
        <v>22370</v>
      </c>
      <c r="Z376" s="2">
        <f t="shared" si="131"/>
        <v>0.30352781546811397</v>
      </c>
      <c r="AA376" s="19">
        <v>44630</v>
      </c>
      <c r="AB376" s="1">
        <f t="shared" si="132"/>
        <v>-26427.272727272728</v>
      </c>
      <c r="AC376" s="20">
        <f t="shared" si="135"/>
        <v>0.39443690637720491</v>
      </c>
      <c r="AD376" s="21">
        <f t="shared" si="133"/>
        <v>2642.7272727272721</v>
      </c>
    </row>
    <row r="377" spans="1:30" ht="21" customHeight="1">
      <c r="A377" s="26">
        <f t="shared" si="124"/>
        <v>377</v>
      </c>
      <c r="B377" s="30">
        <v>11</v>
      </c>
      <c r="C377" s="47">
        <v>25</v>
      </c>
      <c r="D377" s="1" t="s">
        <v>47</v>
      </c>
      <c r="E377" s="9" t="s">
        <v>638</v>
      </c>
      <c r="F377" s="10">
        <v>1</v>
      </c>
      <c r="G377" s="11">
        <f t="shared" si="125"/>
        <v>132000</v>
      </c>
      <c r="H377" s="32"/>
      <c r="I377" s="33"/>
      <c r="J377" s="96"/>
      <c r="K377" s="90"/>
      <c r="L377" s="12">
        <v>45986</v>
      </c>
      <c r="M377" s="12">
        <v>45986</v>
      </c>
      <c r="N377" s="1" t="s">
        <v>73</v>
      </c>
      <c r="O377" s="1" t="s">
        <v>642</v>
      </c>
      <c r="P377" s="1" t="s">
        <v>72</v>
      </c>
      <c r="Q377" s="10">
        <v>120000</v>
      </c>
      <c r="R377" s="13">
        <f t="shared" si="126"/>
        <v>120000</v>
      </c>
      <c r="S377" s="1">
        <f t="shared" si="136"/>
        <v>12000</v>
      </c>
      <c r="T377" s="1">
        <v>0</v>
      </c>
      <c r="U377" s="1">
        <f t="shared" si="128"/>
        <v>0</v>
      </c>
      <c r="V377" s="10" t="s">
        <v>214</v>
      </c>
      <c r="W377" s="1" t="s">
        <v>454</v>
      </c>
      <c r="X377" s="14">
        <f t="shared" si="129"/>
        <v>39000</v>
      </c>
      <c r="Y377" s="14">
        <f t="shared" si="130"/>
        <v>27000</v>
      </c>
      <c r="Z377" s="2">
        <f t="shared" si="131"/>
        <v>0.20454545454545456</v>
      </c>
      <c r="AA377" s="19">
        <v>93000</v>
      </c>
      <c r="AB377" s="1">
        <f t="shared" si="132"/>
        <v>-35454.545454545441</v>
      </c>
      <c r="AC377" s="20">
        <f t="shared" si="135"/>
        <v>0.29545454545454536</v>
      </c>
      <c r="AD377" s="21">
        <f t="shared" si="133"/>
        <v>3545.4545454545587</v>
      </c>
    </row>
    <row r="378" spans="1:30" ht="21" customHeight="1">
      <c r="A378" s="26">
        <f t="shared" si="124"/>
        <v>378</v>
      </c>
      <c r="B378" s="30">
        <v>11</v>
      </c>
      <c r="C378" s="47">
        <v>25</v>
      </c>
      <c r="D378" s="1" t="s">
        <v>47</v>
      </c>
      <c r="E378" s="9" t="s">
        <v>643</v>
      </c>
      <c r="F378" s="10">
        <v>1</v>
      </c>
      <c r="G378" s="11">
        <f t="shared" si="125"/>
        <v>42900</v>
      </c>
      <c r="H378" s="32"/>
      <c r="I378" s="33"/>
      <c r="J378" s="96"/>
      <c r="K378" s="90"/>
      <c r="L378" s="12">
        <v>45986</v>
      </c>
      <c r="M378" s="12">
        <v>45986</v>
      </c>
      <c r="N378" s="1" t="s">
        <v>76</v>
      </c>
      <c r="O378" s="1" t="s">
        <v>640</v>
      </c>
      <c r="P378" s="1" t="s">
        <v>644</v>
      </c>
      <c r="Q378" s="10">
        <v>39000</v>
      </c>
      <c r="R378" s="13">
        <f t="shared" si="126"/>
        <v>39000</v>
      </c>
      <c r="S378" s="1">
        <f t="shared" si="136"/>
        <v>3900</v>
      </c>
      <c r="T378" s="1">
        <v>0</v>
      </c>
      <c r="U378" s="1">
        <f t="shared" si="128"/>
        <v>0</v>
      </c>
      <c r="V378" s="10" t="s">
        <v>214</v>
      </c>
      <c r="W378" s="1" t="s">
        <v>454</v>
      </c>
      <c r="X378" s="14">
        <f t="shared" si="129"/>
        <v>23240</v>
      </c>
      <c r="Y378" s="14">
        <f t="shared" si="130"/>
        <v>19340</v>
      </c>
      <c r="Z378" s="2">
        <f t="shared" si="131"/>
        <v>0.45081585081585079</v>
      </c>
      <c r="AA378" s="19">
        <v>19660</v>
      </c>
      <c r="AB378" s="1">
        <f t="shared" si="132"/>
        <v>-21127.272727272728</v>
      </c>
      <c r="AC378" s="20">
        <f t="shared" si="135"/>
        <v>0.54172494172494179</v>
      </c>
      <c r="AD378" s="21">
        <f t="shared" si="133"/>
        <v>2112.7272727272721</v>
      </c>
    </row>
    <row r="379" spans="1:30" ht="21" customHeight="1">
      <c r="A379" s="26">
        <f t="shared" si="124"/>
        <v>379</v>
      </c>
      <c r="B379" s="30">
        <v>11</v>
      </c>
      <c r="C379" s="47">
        <v>25</v>
      </c>
      <c r="D379" s="1" t="s">
        <v>47</v>
      </c>
      <c r="E379" s="9" t="s">
        <v>643</v>
      </c>
      <c r="F379" s="10">
        <v>1</v>
      </c>
      <c r="G379" s="11">
        <f t="shared" si="125"/>
        <v>26400</v>
      </c>
      <c r="H379" s="32"/>
      <c r="I379" s="33"/>
      <c r="J379" s="96"/>
      <c r="K379" s="90"/>
      <c r="L379" s="12">
        <v>45986</v>
      </c>
      <c r="M379" s="12">
        <v>45986</v>
      </c>
      <c r="N379" s="1" t="s">
        <v>76</v>
      </c>
      <c r="O379" s="1" t="s">
        <v>640</v>
      </c>
      <c r="P379" s="1" t="s">
        <v>645</v>
      </c>
      <c r="Q379" s="10">
        <v>24000</v>
      </c>
      <c r="R379" s="13">
        <f t="shared" si="126"/>
        <v>24000</v>
      </c>
      <c r="S379" s="1">
        <f t="shared" si="136"/>
        <v>2400</v>
      </c>
      <c r="T379" s="1">
        <v>0</v>
      </c>
      <c r="U379" s="1">
        <f t="shared" si="128"/>
        <v>0</v>
      </c>
      <c r="V379" s="10" t="s">
        <v>214</v>
      </c>
      <c r="W379" s="1" t="s">
        <v>454</v>
      </c>
      <c r="X379" s="14">
        <f t="shared" si="129"/>
        <v>12000</v>
      </c>
      <c r="Y379" s="14">
        <f t="shared" si="130"/>
        <v>9600</v>
      </c>
      <c r="Z379" s="2">
        <f t="shared" si="131"/>
        <v>0.36363636363636365</v>
      </c>
      <c r="AA379" s="19">
        <v>14400</v>
      </c>
      <c r="AB379" s="1">
        <f t="shared" si="132"/>
        <v>-10909.090909090906</v>
      </c>
      <c r="AC379" s="20">
        <f t="shared" ref="AC379:AC386" si="137">((G379/1.1) - (AA379/1.1)) / (G379/1.1) * 1</f>
        <v>0.45454545454545447</v>
      </c>
      <c r="AD379" s="21">
        <f t="shared" si="133"/>
        <v>1090.9090909090937</v>
      </c>
    </row>
    <row r="380" spans="1:30" ht="21" customHeight="1">
      <c r="A380" s="26">
        <f t="shared" si="124"/>
        <v>380</v>
      </c>
      <c r="B380" s="30">
        <v>11</v>
      </c>
      <c r="C380" s="47">
        <v>25</v>
      </c>
      <c r="D380" s="1" t="s">
        <v>47</v>
      </c>
      <c r="E380" s="9" t="s">
        <v>638</v>
      </c>
      <c r="F380" s="10">
        <v>1</v>
      </c>
      <c r="G380" s="11">
        <f t="shared" si="125"/>
        <v>220000</v>
      </c>
      <c r="H380" s="32"/>
      <c r="I380" s="33"/>
      <c r="J380" s="96"/>
      <c r="K380" s="90"/>
      <c r="L380" s="12">
        <v>45986</v>
      </c>
      <c r="M380" s="12">
        <v>45986</v>
      </c>
      <c r="N380" s="1" t="s">
        <v>38</v>
      </c>
      <c r="O380" s="1" t="s">
        <v>39</v>
      </c>
      <c r="P380" s="1" t="s">
        <v>646</v>
      </c>
      <c r="Q380" s="10">
        <v>200000</v>
      </c>
      <c r="R380" s="13">
        <f t="shared" si="126"/>
        <v>200000</v>
      </c>
      <c r="S380" s="1">
        <f t="shared" si="136"/>
        <v>20000</v>
      </c>
      <c r="T380" s="1">
        <v>0</v>
      </c>
      <c r="U380" s="1">
        <f t="shared" si="128"/>
        <v>0</v>
      </c>
      <c r="V380" s="10" t="s">
        <v>41</v>
      </c>
      <c r="W380" s="1" t="s">
        <v>454</v>
      </c>
      <c r="X380" s="14">
        <f t="shared" si="129"/>
        <v>51730</v>
      </c>
      <c r="Y380" s="14">
        <f t="shared" si="130"/>
        <v>31730</v>
      </c>
      <c r="Z380" s="2">
        <f t="shared" si="131"/>
        <v>0.14422727272727273</v>
      </c>
      <c r="AA380" s="19">
        <v>168270</v>
      </c>
      <c r="AB380" s="1">
        <f t="shared" si="132"/>
        <v>-47027.272727272706</v>
      </c>
      <c r="AC380" s="20">
        <f t="shared" si="137"/>
        <v>0.23513636363636356</v>
      </c>
      <c r="AD380" s="21">
        <f t="shared" si="133"/>
        <v>4702.7272727272939</v>
      </c>
    </row>
    <row r="381" spans="1:30" ht="21" customHeight="1">
      <c r="A381" s="26">
        <f t="shared" si="124"/>
        <v>381</v>
      </c>
      <c r="B381" s="30">
        <v>11</v>
      </c>
      <c r="C381" s="47">
        <v>25</v>
      </c>
      <c r="D381" s="1" t="s">
        <v>47</v>
      </c>
      <c r="E381" s="9" t="s">
        <v>616</v>
      </c>
      <c r="F381" s="10">
        <v>1</v>
      </c>
      <c r="G381" s="11">
        <f t="shared" si="125"/>
        <v>330000</v>
      </c>
      <c r="H381" s="32"/>
      <c r="I381" s="33"/>
      <c r="J381" s="96"/>
      <c r="K381" s="90"/>
      <c r="L381" s="12">
        <v>45986</v>
      </c>
      <c r="M381" s="12">
        <v>45986</v>
      </c>
      <c r="N381" s="1"/>
      <c r="O381" s="1"/>
      <c r="P381" s="1"/>
      <c r="Q381" s="10">
        <v>300000</v>
      </c>
      <c r="R381" s="13">
        <f t="shared" si="126"/>
        <v>300000</v>
      </c>
      <c r="S381" s="1">
        <f t="shared" si="136"/>
        <v>30000</v>
      </c>
      <c r="T381" s="1">
        <v>0</v>
      </c>
      <c r="U381" s="1">
        <f t="shared" si="128"/>
        <v>0</v>
      </c>
      <c r="V381" s="10" t="s">
        <v>50</v>
      </c>
      <c r="W381" s="1" t="s">
        <v>454</v>
      </c>
      <c r="X381" s="14">
        <f t="shared" si="129"/>
        <v>55000</v>
      </c>
      <c r="Y381" s="14">
        <f t="shared" si="130"/>
        <v>25000</v>
      </c>
      <c r="Z381" s="2">
        <f t="shared" si="131"/>
        <v>7.575757575757576E-2</v>
      </c>
      <c r="AA381" s="19">
        <v>275000</v>
      </c>
      <c r="AB381" s="1">
        <f t="shared" si="132"/>
        <v>-50000.000000000029</v>
      </c>
      <c r="AC381" s="20">
        <f t="shared" si="137"/>
        <v>0.16666666666666677</v>
      </c>
      <c r="AD381" s="21">
        <f t="shared" si="133"/>
        <v>4999.9999999999709</v>
      </c>
    </row>
    <row r="382" spans="1:30" ht="21" customHeight="1">
      <c r="A382" s="26">
        <f t="shared" si="124"/>
        <v>382</v>
      </c>
      <c r="B382" s="41">
        <v>12</v>
      </c>
      <c r="C382" s="42">
        <v>1</v>
      </c>
      <c r="D382" s="1" t="s">
        <v>47</v>
      </c>
      <c r="E382" s="9" t="s">
        <v>647</v>
      </c>
      <c r="F382" s="10">
        <v>2</v>
      </c>
      <c r="G382" s="11">
        <f t="shared" si="125"/>
        <v>30800</v>
      </c>
      <c r="H382" s="32"/>
      <c r="I382" s="33"/>
      <c r="J382" s="96"/>
      <c r="K382" s="90"/>
      <c r="L382" s="12">
        <v>45993</v>
      </c>
      <c r="M382" s="12">
        <v>45992</v>
      </c>
      <c r="N382" s="1" t="s">
        <v>54</v>
      </c>
      <c r="O382" s="1"/>
      <c r="P382" s="1" t="s">
        <v>49</v>
      </c>
      <c r="Q382" s="10">
        <v>14000</v>
      </c>
      <c r="R382" s="13">
        <f t="shared" si="126"/>
        <v>28000</v>
      </c>
      <c r="S382" s="1">
        <f t="shared" si="136"/>
        <v>2800</v>
      </c>
      <c r="T382" s="1">
        <v>0</v>
      </c>
      <c r="U382" s="1">
        <f t="shared" si="128"/>
        <v>0</v>
      </c>
      <c r="V382" s="10" t="s">
        <v>50</v>
      </c>
      <c r="W382" s="1" t="s">
        <v>218</v>
      </c>
      <c r="X382" s="14">
        <f t="shared" si="129"/>
        <v>10800</v>
      </c>
      <c r="Y382" s="14">
        <f t="shared" si="130"/>
        <v>8000</v>
      </c>
      <c r="Z382" s="2">
        <f t="shared" si="131"/>
        <v>0.25974025974025972</v>
      </c>
      <c r="AA382" s="19">
        <v>20000</v>
      </c>
      <c r="AB382" s="1">
        <f t="shared" si="132"/>
        <v>-9818.1818181818162</v>
      </c>
      <c r="AC382" s="20">
        <f t="shared" si="137"/>
        <v>0.3506493506493506</v>
      </c>
      <c r="AD382" s="21">
        <f t="shared" si="133"/>
        <v>981.8181818181838</v>
      </c>
    </row>
    <row r="383" spans="1:30" ht="21" customHeight="1">
      <c r="A383" s="26">
        <f t="shared" si="124"/>
        <v>383</v>
      </c>
      <c r="B383" s="41">
        <v>12</v>
      </c>
      <c r="C383" s="42">
        <v>1</v>
      </c>
      <c r="D383" s="1" t="s">
        <v>47</v>
      </c>
      <c r="E383" s="9" t="s">
        <v>648</v>
      </c>
      <c r="F383" s="10">
        <v>1</v>
      </c>
      <c r="G383" s="11">
        <f t="shared" si="125"/>
        <v>13200</v>
      </c>
      <c r="H383" s="32"/>
      <c r="I383" s="33"/>
      <c r="J383" s="96"/>
      <c r="K383" s="90"/>
      <c r="L383" s="12">
        <v>45993</v>
      </c>
      <c r="M383" s="12">
        <v>45993</v>
      </c>
      <c r="N383" s="1" t="s">
        <v>45</v>
      </c>
      <c r="O383" s="1" t="s">
        <v>520</v>
      </c>
      <c r="P383" s="1" t="s">
        <v>35</v>
      </c>
      <c r="Q383" s="10">
        <v>12000</v>
      </c>
      <c r="R383" s="13">
        <f t="shared" si="126"/>
        <v>12000</v>
      </c>
      <c r="S383" s="1">
        <f t="shared" si="136"/>
        <v>1200</v>
      </c>
      <c r="T383" s="1">
        <v>0</v>
      </c>
      <c r="U383" s="1">
        <f t="shared" si="128"/>
        <v>0</v>
      </c>
      <c r="V383" s="10" t="s">
        <v>561</v>
      </c>
      <c r="W383" s="1" t="s">
        <v>649</v>
      </c>
      <c r="X383" s="14">
        <f t="shared" si="129"/>
        <v>700</v>
      </c>
      <c r="Y383" s="14">
        <f t="shared" si="130"/>
        <v>-500</v>
      </c>
      <c r="Z383" s="2">
        <f t="shared" si="131"/>
        <v>-3.787878787878788E-2</v>
      </c>
      <c r="AA383" s="19">
        <v>12500</v>
      </c>
      <c r="AB383" s="1">
        <f t="shared" si="132"/>
        <v>-636.36363636363603</v>
      </c>
      <c r="AC383" s="20">
        <f t="shared" si="137"/>
        <v>5.3030303030303011E-2</v>
      </c>
      <c r="AD383" s="21">
        <f t="shared" si="133"/>
        <v>63.636363636363967</v>
      </c>
    </row>
    <row r="384" spans="1:30" ht="21" customHeight="1">
      <c r="A384" s="26">
        <f t="shared" si="124"/>
        <v>384</v>
      </c>
      <c r="B384" s="41">
        <v>12</v>
      </c>
      <c r="C384" s="42">
        <v>1</v>
      </c>
      <c r="D384" s="1" t="s">
        <v>70</v>
      </c>
      <c r="E384" s="9" t="s">
        <v>650</v>
      </c>
      <c r="F384" s="10">
        <v>2000</v>
      </c>
      <c r="G384" s="11">
        <f t="shared" si="125"/>
        <v>462000</v>
      </c>
      <c r="H384" s="32"/>
      <c r="I384" s="33"/>
      <c r="J384" s="96"/>
      <c r="K384" s="90"/>
      <c r="L384" s="12">
        <v>45993</v>
      </c>
      <c r="M384" s="34"/>
      <c r="N384" s="1" t="s">
        <v>76</v>
      </c>
      <c r="O384" s="1" t="s">
        <v>77</v>
      </c>
      <c r="P384" s="1" t="s">
        <v>100</v>
      </c>
      <c r="Q384" s="10">
        <v>210</v>
      </c>
      <c r="R384" s="13">
        <f t="shared" si="126"/>
        <v>420000</v>
      </c>
      <c r="S384" s="1">
        <f t="shared" si="136"/>
        <v>42000</v>
      </c>
      <c r="T384" s="1">
        <v>0</v>
      </c>
      <c r="U384" s="1">
        <f t="shared" si="128"/>
        <v>0</v>
      </c>
      <c r="V384" s="10" t="s">
        <v>36</v>
      </c>
      <c r="W384" s="1" t="s">
        <v>71</v>
      </c>
      <c r="X384" s="14">
        <f t="shared" si="129"/>
        <v>181220</v>
      </c>
      <c r="Y384" s="14">
        <f t="shared" si="130"/>
        <v>139220</v>
      </c>
      <c r="Z384" s="2">
        <f t="shared" si="131"/>
        <v>0.30134199134199136</v>
      </c>
      <c r="AA384" s="19">
        <v>280780</v>
      </c>
      <c r="AB384" s="1">
        <f t="shared" si="132"/>
        <v>-164745.4545454545</v>
      </c>
      <c r="AC384" s="20">
        <f t="shared" si="137"/>
        <v>0.39225108225108218</v>
      </c>
      <c r="AD384" s="21">
        <f t="shared" si="133"/>
        <v>16474.5454545455</v>
      </c>
    </row>
    <row r="385" spans="1:30" ht="21" customHeight="1">
      <c r="A385" s="26">
        <f t="shared" si="124"/>
        <v>385</v>
      </c>
      <c r="B385" s="41">
        <v>12</v>
      </c>
      <c r="C385" s="42">
        <v>1</v>
      </c>
      <c r="D385" s="1" t="s">
        <v>85</v>
      </c>
      <c r="E385" s="9" t="s">
        <v>651</v>
      </c>
      <c r="F385" s="10">
        <v>1</v>
      </c>
      <c r="G385" s="11">
        <f t="shared" si="125"/>
        <v>22500</v>
      </c>
      <c r="H385" s="32"/>
      <c r="I385" s="25" t="s">
        <v>220</v>
      </c>
      <c r="J385" s="99" t="s">
        <v>286</v>
      </c>
      <c r="K385" s="90"/>
      <c r="L385" s="25" t="s">
        <v>220</v>
      </c>
      <c r="M385" s="25" t="s">
        <v>220</v>
      </c>
      <c r="N385" s="1" t="s">
        <v>38</v>
      </c>
      <c r="O385" s="1" t="s">
        <v>39</v>
      </c>
      <c r="P385" s="1" t="s">
        <v>100</v>
      </c>
      <c r="Q385" s="10">
        <v>22500</v>
      </c>
      <c r="R385" s="13">
        <f t="shared" si="126"/>
        <v>22500</v>
      </c>
      <c r="S385" s="1">
        <v>0</v>
      </c>
      <c r="T385" s="1">
        <v>0</v>
      </c>
      <c r="U385" s="1">
        <f t="shared" si="128"/>
        <v>0</v>
      </c>
      <c r="V385" s="10" t="s">
        <v>41</v>
      </c>
      <c r="W385" s="1" t="s">
        <v>103</v>
      </c>
      <c r="X385" s="14">
        <f t="shared" si="129"/>
        <v>9320</v>
      </c>
      <c r="Y385" s="14">
        <f t="shared" si="130"/>
        <v>9320</v>
      </c>
      <c r="Z385" s="2">
        <f t="shared" si="131"/>
        <v>0.41422222222222221</v>
      </c>
      <c r="AA385" s="19">
        <v>13180</v>
      </c>
      <c r="AB385" s="1">
        <f t="shared" si="132"/>
        <v>-8472.7272727272721</v>
      </c>
      <c r="AC385" s="20">
        <f t="shared" si="137"/>
        <v>0.41422222222222221</v>
      </c>
      <c r="AD385" s="21">
        <f t="shared" si="133"/>
        <v>847.27272727272793</v>
      </c>
    </row>
    <row r="386" spans="1:30" ht="21" customHeight="1">
      <c r="A386" s="26">
        <f t="shared" si="124"/>
        <v>386</v>
      </c>
      <c r="B386" s="41">
        <v>12</v>
      </c>
      <c r="C386" s="42">
        <v>1</v>
      </c>
      <c r="D386" s="1" t="s">
        <v>70</v>
      </c>
      <c r="E386" s="9" t="s">
        <v>652</v>
      </c>
      <c r="F386" s="10">
        <v>8</v>
      </c>
      <c r="G386" s="11">
        <f t="shared" si="125"/>
        <v>184000</v>
      </c>
      <c r="H386" s="32"/>
      <c r="I386" s="25"/>
      <c r="J386" s="99"/>
      <c r="K386" s="90"/>
      <c r="L386" s="12">
        <v>45993</v>
      </c>
      <c r="M386" s="12">
        <v>45993</v>
      </c>
      <c r="N386" s="1" t="s">
        <v>42</v>
      </c>
      <c r="O386" s="1"/>
      <c r="P386" s="1" t="s">
        <v>75</v>
      </c>
      <c r="Q386" s="10">
        <v>23000</v>
      </c>
      <c r="R386" s="13">
        <f t="shared" si="126"/>
        <v>184000</v>
      </c>
      <c r="S386" s="1">
        <v>0</v>
      </c>
      <c r="T386" s="1">
        <v>0</v>
      </c>
      <c r="U386" s="1">
        <f t="shared" si="128"/>
        <v>0</v>
      </c>
      <c r="V386" s="10" t="s">
        <v>41</v>
      </c>
      <c r="W386" s="1" t="s">
        <v>161</v>
      </c>
      <c r="X386" s="14">
        <f t="shared" si="129"/>
        <v>59000</v>
      </c>
      <c r="Y386" s="14">
        <f t="shared" si="130"/>
        <v>59000</v>
      </c>
      <c r="Z386" s="2">
        <f t="shared" si="131"/>
        <v>0.32065217391304346</v>
      </c>
      <c r="AA386" s="19">
        <v>125000</v>
      </c>
      <c r="AB386" s="1">
        <f t="shared" si="132"/>
        <v>-53636.363636363632</v>
      </c>
      <c r="AC386" s="20">
        <f t="shared" si="137"/>
        <v>0.32065217391304346</v>
      </c>
      <c r="AD386" s="21">
        <f t="shared" si="133"/>
        <v>5363.6363636363676</v>
      </c>
    </row>
    <row r="387" spans="1:30" ht="21" customHeight="1">
      <c r="A387" s="26">
        <f t="shared" si="124"/>
        <v>387</v>
      </c>
      <c r="B387" s="41">
        <v>12</v>
      </c>
      <c r="C387" s="42">
        <v>2</v>
      </c>
      <c r="D387" s="1" t="s">
        <v>47</v>
      </c>
      <c r="E387" s="9" t="s">
        <v>110</v>
      </c>
      <c r="F387" s="10">
        <v>1</v>
      </c>
      <c r="G387" s="11">
        <f t="shared" si="125"/>
        <v>473000</v>
      </c>
      <c r="H387" s="31"/>
      <c r="I387" s="25"/>
      <c r="J387" s="99"/>
      <c r="K387" s="90"/>
      <c r="L387" s="12">
        <v>45993</v>
      </c>
      <c r="M387" s="12">
        <v>45993</v>
      </c>
      <c r="N387" s="1" t="s">
        <v>44</v>
      </c>
      <c r="O387" s="1" t="s">
        <v>111</v>
      </c>
      <c r="P387" s="1" t="s">
        <v>44</v>
      </c>
      <c r="Q387" s="10">
        <v>430000</v>
      </c>
      <c r="R387" s="13">
        <f t="shared" si="126"/>
        <v>430000</v>
      </c>
      <c r="S387" s="1">
        <f t="shared" ref="S387:S396" si="138">R387*0.1</f>
        <v>43000</v>
      </c>
      <c r="T387" s="1">
        <v>0</v>
      </c>
      <c r="U387" s="1">
        <f t="shared" si="128"/>
        <v>0</v>
      </c>
      <c r="V387" s="10" t="s">
        <v>46</v>
      </c>
      <c r="W387" s="1" t="s">
        <v>235</v>
      </c>
      <c r="X387" s="14">
        <f t="shared" si="129"/>
        <v>246500</v>
      </c>
      <c r="Y387" s="14">
        <f t="shared" si="130"/>
        <v>203500</v>
      </c>
      <c r="Z387" s="2">
        <f t="shared" si="131"/>
        <v>0.43023255813953487</v>
      </c>
      <c r="AA387" s="19">
        <v>226500</v>
      </c>
      <c r="AB387" s="1">
        <f t="shared" si="132"/>
        <v>-224090.90909090906</v>
      </c>
      <c r="AC387" s="20">
        <f t="shared" ref="AC387:AC399" si="139">((G387/1.1) - (AA387/1.1)) / (G387/1.1) * 1</f>
        <v>0.52114164904862581</v>
      </c>
      <c r="AD387" s="21">
        <f t="shared" si="133"/>
        <v>22409.090909090941</v>
      </c>
    </row>
    <row r="388" spans="1:30" ht="21" customHeight="1">
      <c r="A388" s="26">
        <f t="shared" si="124"/>
        <v>388</v>
      </c>
      <c r="B388" s="41">
        <v>12</v>
      </c>
      <c r="C388" s="42">
        <v>2</v>
      </c>
      <c r="D388" s="1" t="s">
        <v>47</v>
      </c>
      <c r="E388" s="9" t="s">
        <v>653</v>
      </c>
      <c r="F388" s="10">
        <v>1</v>
      </c>
      <c r="G388" s="11">
        <f t="shared" si="125"/>
        <v>473000</v>
      </c>
      <c r="H388" s="31"/>
      <c r="I388" s="25"/>
      <c r="J388" s="99"/>
      <c r="K388" s="90"/>
      <c r="L388" s="12">
        <v>45994</v>
      </c>
      <c r="M388" s="12">
        <v>45994</v>
      </c>
      <c r="N388" s="1" t="s">
        <v>44</v>
      </c>
      <c r="O388" s="1" t="s">
        <v>111</v>
      </c>
      <c r="P388" s="1" t="s">
        <v>44</v>
      </c>
      <c r="Q388" s="10">
        <v>430000</v>
      </c>
      <c r="R388" s="13">
        <f t="shared" si="126"/>
        <v>430000</v>
      </c>
      <c r="S388" s="1">
        <f t="shared" si="138"/>
        <v>43000</v>
      </c>
      <c r="T388" s="1">
        <v>0</v>
      </c>
      <c r="U388" s="1">
        <f t="shared" si="128"/>
        <v>0</v>
      </c>
      <c r="V388" s="10" t="s">
        <v>46</v>
      </c>
      <c r="W388" s="1" t="s">
        <v>474</v>
      </c>
      <c r="X388" s="14">
        <f t="shared" si="129"/>
        <v>246500</v>
      </c>
      <c r="Y388" s="14">
        <f t="shared" si="130"/>
        <v>203500</v>
      </c>
      <c r="Z388" s="2">
        <f t="shared" si="131"/>
        <v>0.43023255813953487</v>
      </c>
      <c r="AA388" s="19">
        <v>226500</v>
      </c>
      <c r="AB388" s="1">
        <f t="shared" si="132"/>
        <v>-224090.90909090906</v>
      </c>
      <c r="AC388" s="20">
        <f t="shared" si="139"/>
        <v>0.52114164904862581</v>
      </c>
      <c r="AD388" s="21">
        <f t="shared" si="133"/>
        <v>22409.090909090941</v>
      </c>
    </row>
    <row r="389" spans="1:30" ht="21" customHeight="1">
      <c r="A389" s="26">
        <f t="shared" si="124"/>
        <v>389</v>
      </c>
      <c r="B389" s="41">
        <v>12</v>
      </c>
      <c r="C389" s="42">
        <v>2</v>
      </c>
      <c r="D389" s="1" t="s">
        <v>443</v>
      </c>
      <c r="E389" s="9" t="s">
        <v>654</v>
      </c>
      <c r="F389" s="10">
        <v>1</v>
      </c>
      <c r="G389" s="11">
        <f t="shared" si="125"/>
        <v>39600</v>
      </c>
      <c r="H389" s="31"/>
      <c r="I389" s="25"/>
      <c r="J389" s="99" t="s">
        <v>286</v>
      </c>
      <c r="K389" s="90"/>
      <c r="L389" s="25" t="s">
        <v>57</v>
      </c>
      <c r="M389" s="12">
        <v>46001</v>
      </c>
      <c r="N389" s="1"/>
      <c r="O389" s="1"/>
      <c r="P389" s="1" t="s">
        <v>40</v>
      </c>
      <c r="Q389" s="10">
        <v>36000</v>
      </c>
      <c r="R389" s="13">
        <f t="shared" si="126"/>
        <v>36000</v>
      </c>
      <c r="S389" s="1">
        <f t="shared" si="138"/>
        <v>3600</v>
      </c>
      <c r="T389" s="1">
        <v>0</v>
      </c>
      <c r="U389" s="1">
        <f t="shared" si="128"/>
        <v>0</v>
      </c>
      <c r="V389" s="10" t="s">
        <v>41</v>
      </c>
      <c r="W389" s="1" t="s">
        <v>655</v>
      </c>
      <c r="X389" s="14">
        <f t="shared" si="129"/>
        <v>24750</v>
      </c>
      <c r="Y389" s="14">
        <f t="shared" si="130"/>
        <v>21150</v>
      </c>
      <c r="Z389" s="2">
        <f t="shared" si="131"/>
        <v>0.53409090909090906</v>
      </c>
      <c r="AA389" s="19">
        <v>14850</v>
      </c>
      <c r="AB389" s="1">
        <f t="shared" si="132"/>
        <v>-22500</v>
      </c>
      <c r="AC389" s="20">
        <f t="shared" si="139"/>
        <v>0.625</v>
      </c>
      <c r="AD389" s="21">
        <f t="shared" si="133"/>
        <v>2249.9999999999982</v>
      </c>
    </row>
    <row r="390" spans="1:30" ht="21" customHeight="1">
      <c r="A390" s="26">
        <f t="shared" si="124"/>
        <v>390</v>
      </c>
      <c r="B390" s="41">
        <v>12</v>
      </c>
      <c r="C390" s="42">
        <v>2</v>
      </c>
      <c r="D390" s="1" t="s">
        <v>443</v>
      </c>
      <c r="E390" s="9" t="s">
        <v>656</v>
      </c>
      <c r="F390" s="10">
        <v>1</v>
      </c>
      <c r="G390" s="11">
        <f t="shared" si="125"/>
        <v>22000</v>
      </c>
      <c r="H390" s="31"/>
      <c r="I390" s="25"/>
      <c r="J390" s="99" t="s">
        <v>286</v>
      </c>
      <c r="K390" s="90"/>
      <c r="L390" s="25" t="s">
        <v>57</v>
      </c>
      <c r="M390" s="12">
        <v>46001</v>
      </c>
      <c r="N390" s="1"/>
      <c r="O390" s="1"/>
      <c r="P390" s="1" t="s">
        <v>81</v>
      </c>
      <c r="Q390" s="10">
        <v>20000</v>
      </c>
      <c r="R390" s="13">
        <f t="shared" si="126"/>
        <v>20000</v>
      </c>
      <c r="S390" s="1">
        <f t="shared" si="138"/>
        <v>2000</v>
      </c>
      <c r="T390" s="1">
        <v>0</v>
      </c>
      <c r="U390" s="1">
        <f t="shared" si="128"/>
        <v>0</v>
      </c>
      <c r="V390" s="10" t="s">
        <v>41</v>
      </c>
      <c r="W390" s="1" t="s">
        <v>655</v>
      </c>
      <c r="X390" s="14">
        <f t="shared" si="129"/>
        <v>7150</v>
      </c>
      <c r="Y390" s="14">
        <f t="shared" si="130"/>
        <v>5150</v>
      </c>
      <c r="Z390" s="2">
        <f t="shared" si="131"/>
        <v>0.2340909090909091</v>
      </c>
      <c r="AA390" s="19">
        <v>14850</v>
      </c>
      <c r="AB390" s="1">
        <f t="shared" si="132"/>
        <v>-6500.0000000000018</v>
      </c>
      <c r="AC390" s="20">
        <f t="shared" si="139"/>
        <v>0.32500000000000007</v>
      </c>
      <c r="AD390" s="21">
        <f t="shared" si="133"/>
        <v>649.99999999999818</v>
      </c>
    </row>
    <row r="391" spans="1:30" ht="21" customHeight="1">
      <c r="A391" s="26">
        <f t="shared" si="124"/>
        <v>391</v>
      </c>
      <c r="B391" s="41">
        <v>12</v>
      </c>
      <c r="C391" s="42">
        <v>2</v>
      </c>
      <c r="D391" s="1" t="s">
        <v>443</v>
      </c>
      <c r="E391" s="9" t="s">
        <v>657</v>
      </c>
      <c r="F391" s="10">
        <v>1</v>
      </c>
      <c r="G391" s="11">
        <f t="shared" si="125"/>
        <v>27500</v>
      </c>
      <c r="H391" s="31"/>
      <c r="I391" s="25"/>
      <c r="J391" s="99" t="s">
        <v>286</v>
      </c>
      <c r="K391" s="90"/>
      <c r="L391" s="25" t="s">
        <v>57</v>
      </c>
      <c r="M391" s="12">
        <v>46001</v>
      </c>
      <c r="N391" s="1" t="s">
        <v>42</v>
      </c>
      <c r="O391" s="1" t="s">
        <v>658</v>
      </c>
      <c r="P391" s="1" t="s">
        <v>72</v>
      </c>
      <c r="Q391" s="10">
        <v>25000</v>
      </c>
      <c r="R391" s="13">
        <f t="shared" si="126"/>
        <v>25000</v>
      </c>
      <c r="S391" s="1">
        <f t="shared" si="138"/>
        <v>2500</v>
      </c>
      <c r="T391" s="1">
        <v>0</v>
      </c>
      <c r="U391" s="1">
        <f t="shared" si="128"/>
        <v>0</v>
      </c>
      <c r="V391" s="10" t="s">
        <v>41</v>
      </c>
      <c r="W391" s="1" t="s">
        <v>655</v>
      </c>
      <c r="X391" s="14">
        <f t="shared" si="129"/>
        <v>12650</v>
      </c>
      <c r="Y391" s="14">
        <f t="shared" si="130"/>
        <v>10150</v>
      </c>
      <c r="Z391" s="2">
        <f t="shared" si="131"/>
        <v>0.36909090909090908</v>
      </c>
      <c r="AA391" s="19">
        <v>14850</v>
      </c>
      <c r="AB391" s="1">
        <f t="shared" si="132"/>
        <v>-11499.999999999998</v>
      </c>
      <c r="AC391" s="20">
        <f t="shared" si="139"/>
        <v>0.46</v>
      </c>
      <c r="AD391" s="21">
        <f t="shared" si="133"/>
        <v>1150.0000000000018</v>
      </c>
    </row>
    <row r="392" spans="1:30" ht="21" customHeight="1">
      <c r="A392" s="26">
        <f t="shared" si="124"/>
        <v>392</v>
      </c>
      <c r="B392" s="41">
        <v>12</v>
      </c>
      <c r="C392" s="42">
        <v>8</v>
      </c>
      <c r="D392" s="1" t="s">
        <v>85</v>
      </c>
      <c r="E392" s="9" t="s">
        <v>659</v>
      </c>
      <c r="F392" s="10">
        <v>1</v>
      </c>
      <c r="G392" s="11">
        <f t="shared" si="125"/>
        <v>319000</v>
      </c>
      <c r="H392" s="31"/>
      <c r="I392" s="25"/>
      <c r="J392" s="99"/>
      <c r="K392" s="90"/>
      <c r="L392" s="12">
        <v>46006</v>
      </c>
      <c r="M392" s="25"/>
      <c r="N392" s="1" t="s">
        <v>43</v>
      </c>
      <c r="O392" s="1"/>
      <c r="P392" s="1" t="s">
        <v>44</v>
      </c>
      <c r="Q392" s="10">
        <v>290000</v>
      </c>
      <c r="R392" s="13">
        <f t="shared" si="126"/>
        <v>290000</v>
      </c>
      <c r="S392" s="1">
        <f t="shared" si="138"/>
        <v>29000</v>
      </c>
      <c r="T392" s="1">
        <v>0</v>
      </c>
      <c r="U392" s="1">
        <f t="shared" si="128"/>
        <v>0</v>
      </c>
      <c r="V392" s="10" t="s">
        <v>46</v>
      </c>
      <c r="W392" s="1" t="s">
        <v>660</v>
      </c>
      <c r="X392" s="14">
        <f t="shared" si="129"/>
        <v>173500</v>
      </c>
      <c r="Y392" s="14">
        <f t="shared" si="130"/>
        <v>144500</v>
      </c>
      <c r="Z392" s="2">
        <f t="shared" si="131"/>
        <v>0.45297805642633227</v>
      </c>
      <c r="AA392" s="19">
        <v>145500</v>
      </c>
      <c r="AB392" s="1">
        <f t="shared" si="132"/>
        <v>-157727.27272727274</v>
      </c>
      <c r="AC392" s="20">
        <f t="shared" si="139"/>
        <v>0.5438871473354232</v>
      </c>
      <c r="AD392" s="21">
        <f t="shared" si="133"/>
        <v>15772.727272727265</v>
      </c>
    </row>
    <row r="393" spans="1:30" ht="21" customHeight="1">
      <c r="A393" s="26">
        <f t="shared" si="124"/>
        <v>393</v>
      </c>
      <c r="B393" s="41">
        <v>12</v>
      </c>
      <c r="C393" s="42">
        <v>9</v>
      </c>
      <c r="D393" s="1" t="s">
        <v>47</v>
      </c>
      <c r="E393" s="9" t="s">
        <v>661</v>
      </c>
      <c r="F393" s="10">
        <v>1</v>
      </c>
      <c r="G393" s="11">
        <f t="shared" si="125"/>
        <v>473000</v>
      </c>
      <c r="H393" s="31"/>
      <c r="I393" s="25"/>
      <c r="J393" s="99"/>
      <c r="K393" s="90"/>
      <c r="L393" s="12">
        <v>46001</v>
      </c>
      <c r="M393" s="12">
        <v>46001</v>
      </c>
      <c r="N393" s="1" t="s">
        <v>44</v>
      </c>
      <c r="O393" s="1" t="s">
        <v>111</v>
      </c>
      <c r="P393" s="1" t="s">
        <v>44</v>
      </c>
      <c r="Q393" s="10">
        <v>430000</v>
      </c>
      <c r="R393" s="13">
        <f t="shared" si="126"/>
        <v>430000</v>
      </c>
      <c r="S393" s="1">
        <f t="shared" si="138"/>
        <v>43000</v>
      </c>
      <c r="T393" s="1">
        <v>0</v>
      </c>
      <c r="U393" s="1">
        <f t="shared" si="128"/>
        <v>0</v>
      </c>
      <c r="V393" s="10" t="s">
        <v>46</v>
      </c>
      <c r="W393" s="1" t="s">
        <v>474</v>
      </c>
      <c r="X393" s="14">
        <f t="shared" si="129"/>
        <v>246500</v>
      </c>
      <c r="Y393" s="14">
        <f t="shared" si="130"/>
        <v>203500</v>
      </c>
      <c r="Z393" s="2">
        <f t="shared" si="131"/>
        <v>0.43023255813953487</v>
      </c>
      <c r="AA393" s="19">
        <v>226500</v>
      </c>
      <c r="AB393" s="1">
        <f t="shared" si="132"/>
        <v>-224090.90909090906</v>
      </c>
      <c r="AC393" s="20">
        <f t="shared" si="139"/>
        <v>0.52114164904862581</v>
      </c>
      <c r="AD393" s="21">
        <f t="shared" si="133"/>
        <v>22409.090909090941</v>
      </c>
    </row>
    <row r="394" spans="1:30" ht="21" customHeight="1">
      <c r="A394" s="26">
        <f t="shared" si="124"/>
        <v>394</v>
      </c>
      <c r="B394" s="41">
        <v>12</v>
      </c>
      <c r="C394" s="42">
        <v>9</v>
      </c>
      <c r="D394" s="1" t="s">
        <v>47</v>
      </c>
      <c r="E394" s="9" t="s">
        <v>662</v>
      </c>
      <c r="F394" s="10">
        <v>4</v>
      </c>
      <c r="G394" s="11">
        <f t="shared" si="125"/>
        <v>61600</v>
      </c>
      <c r="H394" s="31"/>
      <c r="I394" s="25"/>
      <c r="J394" s="99"/>
      <c r="K394" s="90"/>
      <c r="L394" s="12">
        <v>46001</v>
      </c>
      <c r="M394" s="12">
        <v>46001</v>
      </c>
      <c r="N394" s="1" t="s">
        <v>48</v>
      </c>
      <c r="O394" s="1"/>
      <c r="P394" s="1" t="s">
        <v>49</v>
      </c>
      <c r="Q394" s="10">
        <v>14000</v>
      </c>
      <c r="R394" s="13">
        <f t="shared" si="126"/>
        <v>56000</v>
      </c>
      <c r="S394" s="1">
        <f t="shared" si="138"/>
        <v>5600</v>
      </c>
      <c r="T394" s="1">
        <v>0</v>
      </c>
      <c r="U394" s="1">
        <f t="shared" si="128"/>
        <v>0</v>
      </c>
      <c r="V394" s="10" t="s">
        <v>50</v>
      </c>
      <c r="W394" s="1" t="s">
        <v>474</v>
      </c>
      <c r="X394" s="14">
        <f t="shared" si="129"/>
        <v>21600</v>
      </c>
      <c r="Y394" s="14">
        <f t="shared" si="130"/>
        <v>16000</v>
      </c>
      <c r="Z394" s="2">
        <f t="shared" si="131"/>
        <v>0.25974025974025972</v>
      </c>
      <c r="AA394" s="19">
        <v>40000</v>
      </c>
      <c r="AB394" s="1">
        <f t="shared" si="132"/>
        <v>-19636.363636363632</v>
      </c>
      <c r="AC394" s="20">
        <f t="shared" si="139"/>
        <v>0.3506493506493506</v>
      </c>
      <c r="AD394" s="21">
        <f t="shared" si="133"/>
        <v>1963.6363636363676</v>
      </c>
    </row>
    <row r="395" spans="1:30" ht="21" customHeight="1">
      <c r="A395" s="26">
        <f t="shared" si="124"/>
        <v>395</v>
      </c>
      <c r="B395" s="41">
        <v>12</v>
      </c>
      <c r="C395" s="42">
        <v>9</v>
      </c>
      <c r="D395" s="1" t="s">
        <v>47</v>
      </c>
      <c r="E395" s="9" t="s">
        <v>662</v>
      </c>
      <c r="F395" s="10">
        <v>4</v>
      </c>
      <c r="G395" s="11">
        <f t="shared" si="125"/>
        <v>52800</v>
      </c>
      <c r="H395" s="31"/>
      <c r="I395" s="25"/>
      <c r="J395" s="99"/>
      <c r="K395" s="90"/>
      <c r="L395" s="12">
        <v>46001</v>
      </c>
      <c r="M395" s="12">
        <v>46001</v>
      </c>
      <c r="N395" s="1" t="s">
        <v>45</v>
      </c>
      <c r="O395" s="1" t="s">
        <v>520</v>
      </c>
      <c r="P395" s="1" t="s">
        <v>49</v>
      </c>
      <c r="Q395" s="10">
        <v>12000</v>
      </c>
      <c r="R395" s="13">
        <f t="shared" si="126"/>
        <v>48000</v>
      </c>
      <c r="S395" s="1">
        <f t="shared" si="138"/>
        <v>4800</v>
      </c>
      <c r="T395" s="1">
        <v>0</v>
      </c>
      <c r="U395" s="1">
        <f t="shared" si="128"/>
        <v>0</v>
      </c>
      <c r="V395" s="10" t="s">
        <v>561</v>
      </c>
      <c r="W395" s="1" t="s">
        <v>474</v>
      </c>
      <c r="X395" s="14">
        <f t="shared" si="129"/>
        <v>10700</v>
      </c>
      <c r="Y395" s="14">
        <f t="shared" si="130"/>
        <v>5900</v>
      </c>
      <c r="Z395" s="2">
        <f t="shared" si="131"/>
        <v>0.11174242424242424</v>
      </c>
      <c r="AA395" s="19">
        <v>42100</v>
      </c>
      <c r="AB395" s="1">
        <f t="shared" si="132"/>
        <v>-9727.2727272727207</v>
      </c>
      <c r="AC395" s="20">
        <f t="shared" si="139"/>
        <v>0.20265151515151505</v>
      </c>
      <c r="AD395" s="21">
        <f t="shared" si="133"/>
        <v>972.72727272727934</v>
      </c>
    </row>
    <row r="396" spans="1:30" ht="21" customHeight="1">
      <c r="A396" s="26">
        <f t="shared" si="124"/>
        <v>396</v>
      </c>
      <c r="B396" s="41">
        <v>12</v>
      </c>
      <c r="C396" s="42">
        <v>9</v>
      </c>
      <c r="D396" s="1" t="s">
        <v>47</v>
      </c>
      <c r="E396" s="9" t="s">
        <v>663</v>
      </c>
      <c r="F396" s="10">
        <v>3</v>
      </c>
      <c r="G396" s="11">
        <f t="shared" si="125"/>
        <v>79200</v>
      </c>
      <c r="H396" s="31"/>
      <c r="I396" s="25"/>
      <c r="J396" s="99"/>
      <c r="K396" s="90"/>
      <c r="L396" s="12">
        <v>46001</v>
      </c>
      <c r="M396" s="12">
        <v>46001</v>
      </c>
      <c r="N396" s="1" t="s">
        <v>38</v>
      </c>
      <c r="O396" s="1" t="s">
        <v>395</v>
      </c>
      <c r="P396" s="1" t="s">
        <v>396</v>
      </c>
      <c r="Q396" s="10">
        <v>24000</v>
      </c>
      <c r="R396" s="13">
        <f t="shared" si="126"/>
        <v>72000</v>
      </c>
      <c r="S396" s="1">
        <f t="shared" si="138"/>
        <v>7200</v>
      </c>
      <c r="T396" s="1">
        <v>0</v>
      </c>
      <c r="U396" s="1">
        <f t="shared" si="128"/>
        <v>0</v>
      </c>
      <c r="V396" s="10" t="s">
        <v>41</v>
      </c>
      <c r="W396" s="1" t="s">
        <v>474</v>
      </c>
      <c r="X396" s="14">
        <f t="shared" si="129"/>
        <v>19200</v>
      </c>
      <c r="Y396" s="14">
        <f t="shared" si="130"/>
        <v>12000</v>
      </c>
      <c r="Z396" s="2">
        <f t="shared" si="131"/>
        <v>0.15151515151515152</v>
      </c>
      <c r="AA396" s="19">
        <v>60000</v>
      </c>
      <c r="AB396" s="1">
        <f t="shared" si="132"/>
        <v>-17454.545454545456</v>
      </c>
      <c r="AC396" s="20">
        <f t="shared" si="139"/>
        <v>0.24242424242424243</v>
      </c>
      <c r="AD396" s="21">
        <f t="shared" si="133"/>
        <v>1745.4545454545441</v>
      </c>
    </row>
    <row r="397" spans="1:30" ht="21" customHeight="1">
      <c r="A397" s="26">
        <f t="shared" si="124"/>
        <v>397</v>
      </c>
      <c r="B397" s="41">
        <v>12</v>
      </c>
      <c r="C397" s="42">
        <v>10</v>
      </c>
      <c r="D397" s="1" t="s">
        <v>664</v>
      </c>
      <c r="E397" s="9" t="s">
        <v>665</v>
      </c>
      <c r="F397" s="10">
        <v>1</v>
      </c>
      <c r="G397" s="11">
        <f t="shared" si="125"/>
        <v>24000</v>
      </c>
      <c r="H397" s="31"/>
      <c r="I397" s="25"/>
      <c r="J397" s="99"/>
      <c r="K397" s="90"/>
      <c r="L397" s="12"/>
      <c r="M397" s="12"/>
      <c r="N397" s="1" t="s">
        <v>38</v>
      </c>
      <c r="O397" s="1" t="s">
        <v>39</v>
      </c>
      <c r="P397" s="1" t="s">
        <v>666</v>
      </c>
      <c r="Q397" s="10">
        <v>24000</v>
      </c>
      <c r="R397" s="13">
        <f t="shared" si="126"/>
        <v>24000</v>
      </c>
      <c r="S397" s="1">
        <v>0</v>
      </c>
      <c r="T397" s="1">
        <v>0</v>
      </c>
      <c r="U397" s="1">
        <f t="shared" si="128"/>
        <v>0</v>
      </c>
      <c r="V397" s="10" t="s">
        <v>41</v>
      </c>
      <c r="W397" s="1" t="s">
        <v>159</v>
      </c>
      <c r="X397" s="14">
        <f t="shared" si="129"/>
        <v>9000</v>
      </c>
      <c r="Y397" s="14">
        <f t="shared" si="130"/>
        <v>9000</v>
      </c>
      <c r="Z397" s="2">
        <f t="shared" si="131"/>
        <v>0.375</v>
      </c>
      <c r="AA397" s="19">
        <v>15000</v>
      </c>
      <c r="AB397" s="1">
        <f t="shared" si="132"/>
        <v>-8181.8181818181802</v>
      </c>
      <c r="AC397" s="20">
        <f t="shared" si="139"/>
        <v>0.37499999999999994</v>
      </c>
      <c r="AD397" s="21">
        <f t="shared" si="133"/>
        <v>818.18181818181984</v>
      </c>
    </row>
    <row r="398" spans="1:30" ht="21" customHeight="1">
      <c r="A398" s="26">
        <f t="shared" si="124"/>
        <v>398</v>
      </c>
      <c r="B398" s="41">
        <v>12</v>
      </c>
      <c r="C398" s="42">
        <v>15</v>
      </c>
      <c r="D398" s="1" t="s">
        <v>112</v>
      </c>
      <c r="E398" s="9" t="s">
        <v>667</v>
      </c>
      <c r="F398" s="10">
        <v>2</v>
      </c>
      <c r="G398" s="11">
        <f t="shared" si="125"/>
        <v>44000</v>
      </c>
      <c r="H398" s="31"/>
      <c r="I398" s="25"/>
      <c r="J398" s="99"/>
      <c r="K398" s="90"/>
      <c r="L398" s="12"/>
      <c r="M398" s="12"/>
      <c r="N398" s="1" t="s">
        <v>45</v>
      </c>
      <c r="O398" s="1" t="s">
        <v>34</v>
      </c>
      <c r="P398" s="1" t="s">
        <v>35</v>
      </c>
      <c r="Q398" s="10">
        <v>20000</v>
      </c>
      <c r="R398" s="13">
        <f t="shared" si="126"/>
        <v>40000</v>
      </c>
      <c r="S398" s="1">
        <f t="shared" ref="S398:S399" si="140">R398*0.1</f>
        <v>4000</v>
      </c>
      <c r="T398" s="1">
        <v>0</v>
      </c>
      <c r="U398" s="1">
        <f t="shared" si="128"/>
        <v>0</v>
      </c>
      <c r="V398" s="10" t="s">
        <v>36</v>
      </c>
      <c r="W398" s="1" t="s">
        <v>112</v>
      </c>
      <c r="X398" s="14">
        <f t="shared" si="129"/>
        <v>29400</v>
      </c>
      <c r="Y398" s="14">
        <f t="shared" si="130"/>
        <v>25400</v>
      </c>
      <c r="Z398" s="2">
        <f t="shared" si="131"/>
        <v>0.57727272727272727</v>
      </c>
      <c r="AA398" s="19">
        <v>14600</v>
      </c>
      <c r="AB398" s="1">
        <f t="shared" si="132"/>
        <v>-26727.272727272728</v>
      </c>
      <c r="AC398" s="20">
        <f t="shared" si="139"/>
        <v>0.66818181818181821</v>
      </c>
      <c r="AD398" s="21">
        <f t="shared" si="133"/>
        <v>2672.7272727272721</v>
      </c>
    </row>
    <row r="399" spans="1:30" ht="21" customHeight="1">
      <c r="A399" s="26">
        <f t="shared" si="124"/>
        <v>399</v>
      </c>
      <c r="B399" s="41">
        <v>12</v>
      </c>
      <c r="C399" s="42">
        <v>17</v>
      </c>
      <c r="D399" s="1" t="s">
        <v>47</v>
      </c>
      <c r="E399" s="9" t="s">
        <v>668</v>
      </c>
      <c r="F399" s="10">
        <v>3</v>
      </c>
      <c r="G399" s="11">
        <f t="shared" si="125"/>
        <v>39600</v>
      </c>
      <c r="H399" s="31"/>
      <c r="I399" s="25"/>
      <c r="J399" s="99"/>
      <c r="K399" s="90"/>
      <c r="L399" s="12"/>
      <c r="M399" s="12">
        <v>46008</v>
      </c>
      <c r="N399" s="1" t="s">
        <v>45</v>
      </c>
      <c r="O399" s="1" t="s">
        <v>520</v>
      </c>
      <c r="P399" s="1" t="s">
        <v>49</v>
      </c>
      <c r="Q399" s="10">
        <v>12000</v>
      </c>
      <c r="R399" s="13">
        <f t="shared" si="126"/>
        <v>36000</v>
      </c>
      <c r="S399" s="1">
        <f t="shared" si="140"/>
        <v>3600</v>
      </c>
      <c r="T399" s="1">
        <v>0</v>
      </c>
      <c r="U399" s="1">
        <f t="shared" si="128"/>
        <v>0</v>
      </c>
      <c r="V399" s="10" t="s">
        <v>561</v>
      </c>
      <c r="W399" s="1" t="s">
        <v>669</v>
      </c>
      <c r="X399" s="14">
        <f t="shared" si="129"/>
        <v>7380</v>
      </c>
      <c r="Y399" s="14">
        <f t="shared" si="130"/>
        <v>3780</v>
      </c>
      <c r="Z399" s="2">
        <f t="shared" si="131"/>
        <v>9.5454545454545459E-2</v>
      </c>
      <c r="AA399" s="19">
        <v>32220</v>
      </c>
      <c r="AB399" s="1">
        <f t="shared" si="132"/>
        <v>-6709.0909090909117</v>
      </c>
      <c r="AC399" s="20">
        <f t="shared" si="139"/>
        <v>0.18636363636363643</v>
      </c>
      <c r="AD399" s="21">
        <f t="shared" si="133"/>
        <v>670.90909090908826</v>
      </c>
    </row>
    <row r="400" spans="1:30" ht="2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2"/>
      <c r="AA400" s="1"/>
      <c r="AB400" s="1"/>
      <c r="AC400" s="1"/>
      <c r="AD400" s="1"/>
    </row>
    <row r="401" spans="1:30" ht="21" customHeight="1">
      <c r="A401" s="26">
        <f t="shared" ref="A401:A412" si="141">ROW()</f>
        <v>401</v>
      </c>
      <c r="B401" s="9">
        <v>1</v>
      </c>
      <c r="C401" s="24">
        <v>2</v>
      </c>
      <c r="D401" s="1" t="s">
        <v>47</v>
      </c>
      <c r="E401" s="9" t="s">
        <v>670</v>
      </c>
      <c r="F401" s="10">
        <v>2</v>
      </c>
      <c r="G401" s="11">
        <f t="shared" ref="G401:G412" si="142">R401+S401+T401+U401</f>
        <v>30800</v>
      </c>
      <c r="H401" s="1"/>
      <c r="I401" s="25"/>
      <c r="J401" s="99"/>
      <c r="K401" s="90"/>
      <c r="L401" s="12">
        <v>46386</v>
      </c>
      <c r="M401" s="12">
        <v>46386</v>
      </c>
      <c r="N401" s="1" t="s">
        <v>48</v>
      </c>
      <c r="O401" s="1"/>
      <c r="P401" s="1" t="s">
        <v>49</v>
      </c>
      <c r="Q401" s="10">
        <v>14000</v>
      </c>
      <c r="R401" s="13">
        <f t="shared" ref="R401:R412" si="143">Q401*F401</f>
        <v>28000</v>
      </c>
      <c r="S401" s="1">
        <f t="shared" ref="S401:S412" si="144">R401*0.1</f>
        <v>2800</v>
      </c>
      <c r="T401" s="1">
        <v>0</v>
      </c>
      <c r="U401" s="1">
        <f t="shared" ref="U401:U412" si="145">T401*0.1</f>
        <v>0</v>
      </c>
      <c r="V401" s="10" t="s">
        <v>50</v>
      </c>
      <c r="W401" s="1" t="s">
        <v>474</v>
      </c>
      <c r="X401" s="14">
        <f t="shared" ref="X401:X412" si="146">G401-AA401</f>
        <v>30800</v>
      </c>
      <c r="Y401" s="14">
        <f t="shared" ref="Y401:Y412" si="147">X401-S401</f>
        <v>28000</v>
      </c>
      <c r="Z401" s="2">
        <f t="shared" ref="Z401:Z412" si="148">Y401/G401</f>
        <v>0.90909090909090906</v>
      </c>
      <c r="AA401" s="19">
        <v>0</v>
      </c>
      <c r="AB401" s="1">
        <f t="shared" ref="AB401:AB412" si="149">(AA401/1.1)-(G401/1.1)</f>
        <v>-27999.999999999996</v>
      </c>
      <c r="AC401" s="20">
        <f t="shared" ref="AC401:AC402" si="150">((G401/1.1) - (AA401/1.1)) / (G401/1.1) * 1</f>
        <v>1</v>
      </c>
      <c r="AD401" s="21">
        <f t="shared" ref="AD401:AD412" si="151">(G401 - (G401 / 1.1)) - (AA401 - (AA401 / 1.1))</f>
        <v>2800.0000000000036</v>
      </c>
    </row>
    <row r="402" spans="1:30" ht="21" customHeight="1">
      <c r="A402" s="26">
        <f t="shared" si="141"/>
        <v>402</v>
      </c>
      <c r="B402" s="9">
        <v>1</v>
      </c>
      <c r="C402" s="24">
        <v>2</v>
      </c>
      <c r="D402" s="1" t="s">
        <v>47</v>
      </c>
      <c r="E402" s="9" t="s">
        <v>670</v>
      </c>
      <c r="F402" s="10">
        <v>2</v>
      </c>
      <c r="G402" s="11">
        <f t="shared" si="142"/>
        <v>26400</v>
      </c>
      <c r="H402" s="31"/>
      <c r="I402" s="25"/>
      <c r="J402" s="99"/>
      <c r="K402" s="90"/>
      <c r="L402" s="12">
        <v>46386</v>
      </c>
      <c r="M402" s="12">
        <v>46386</v>
      </c>
      <c r="N402" s="1" t="s">
        <v>45</v>
      </c>
      <c r="O402" s="1" t="s">
        <v>520</v>
      </c>
      <c r="P402" s="1" t="s">
        <v>49</v>
      </c>
      <c r="Q402" s="10">
        <v>12000</v>
      </c>
      <c r="R402" s="13">
        <f t="shared" si="143"/>
        <v>24000</v>
      </c>
      <c r="S402" s="1">
        <f t="shared" si="144"/>
        <v>2400</v>
      </c>
      <c r="T402" s="1">
        <v>0</v>
      </c>
      <c r="U402" s="1">
        <f t="shared" si="145"/>
        <v>0</v>
      </c>
      <c r="V402" s="10" t="s">
        <v>561</v>
      </c>
      <c r="W402" s="1" t="s">
        <v>474</v>
      </c>
      <c r="X402" s="14">
        <f t="shared" si="146"/>
        <v>4100</v>
      </c>
      <c r="Y402" s="14">
        <f t="shared" si="147"/>
        <v>1700</v>
      </c>
      <c r="Z402" s="2">
        <f t="shared" si="148"/>
        <v>6.4393939393939392E-2</v>
      </c>
      <c r="AA402" s="19">
        <v>22300</v>
      </c>
      <c r="AB402" s="1">
        <f t="shared" si="149"/>
        <v>-3727.2727272727243</v>
      </c>
      <c r="AC402" s="20">
        <f t="shared" si="150"/>
        <v>0.15530303030303019</v>
      </c>
      <c r="AD402" s="21">
        <f t="shared" si="151"/>
        <v>372.7272727272757</v>
      </c>
    </row>
    <row r="403" spans="1:30" ht="21" customHeight="1">
      <c r="A403" s="26">
        <f t="shared" si="141"/>
        <v>403</v>
      </c>
      <c r="B403" s="9">
        <v>1</v>
      </c>
      <c r="C403" s="24">
        <v>2</v>
      </c>
      <c r="D403" s="1" t="s">
        <v>225</v>
      </c>
      <c r="E403" s="9" t="s">
        <v>671</v>
      </c>
      <c r="F403" s="10">
        <v>7</v>
      </c>
      <c r="G403" s="11">
        <f t="shared" si="142"/>
        <v>177100</v>
      </c>
      <c r="H403" s="31"/>
      <c r="I403" s="25" t="s">
        <v>220</v>
      </c>
      <c r="J403" s="100"/>
      <c r="K403" s="90"/>
      <c r="L403" s="12">
        <v>46020</v>
      </c>
      <c r="M403" s="25" t="s">
        <v>57</v>
      </c>
      <c r="N403" s="1" t="s">
        <v>38</v>
      </c>
      <c r="O403" s="1" t="s">
        <v>39</v>
      </c>
      <c r="P403" s="1" t="s">
        <v>40</v>
      </c>
      <c r="Q403" s="10">
        <v>23000</v>
      </c>
      <c r="R403" s="13">
        <f t="shared" si="143"/>
        <v>161000</v>
      </c>
      <c r="S403" s="1">
        <f t="shared" si="144"/>
        <v>16100</v>
      </c>
      <c r="T403" s="1">
        <v>0</v>
      </c>
      <c r="U403" s="1">
        <f t="shared" si="145"/>
        <v>0</v>
      </c>
      <c r="V403" s="10" t="s">
        <v>41</v>
      </c>
      <c r="W403" s="1" t="s">
        <v>512</v>
      </c>
      <c r="X403" s="14">
        <f t="shared" si="146"/>
        <v>177100</v>
      </c>
      <c r="Y403" s="14">
        <f t="shared" si="147"/>
        <v>161000</v>
      </c>
      <c r="Z403" s="2">
        <f t="shared" si="148"/>
        <v>0.90909090909090906</v>
      </c>
      <c r="AA403" s="19">
        <v>0</v>
      </c>
      <c r="AB403" s="1">
        <f t="shared" si="149"/>
        <v>-161000</v>
      </c>
      <c r="AC403" s="20">
        <f t="shared" ref="AC403:AC408" si="152">((G403/1.1) - (AA403/1.1)) / (G403/1.1) * 1</f>
        <v>1</v>
      </c>
      <c r="AD403" s="21">
        <f t="shared" si="151"/>
        <v>16100</v>
      </c>
    </row>
    <row r="404" spans="1:30" ht="21" customHeight="1">
      <c r="A404" s="26">
        <f t="shared" si="141"/>
        <v>404</v>
      </c>
      <c r="B404" s="9">
        <v>1</v>
      </c>
      <c r="C404" s="24">
        <v>2</v>
      </c>
      <c r="D404" s="1" t="s">
        <v>225</v>
      </c>
      <c r="E404" s="9" t="s">
        <v>671</v>
      </c>
      <c r="F404" s="10">
        <v>7</v>
      </c>
      <c r="G404" s="11">
        <f t="shared" si="142"/>
        <v>115500</v>
      </c>
      <c r="H404" s="31"/>
      <c r="I404" s="25" t="s">
        <v>220</v>
      </c>
      <c r="J404" s="100"/>
      <c r="K404" s="90"/>
      <c r="L404" s="12">
        <v>46020</v>
      </c>
      <c r="M404" s="25" t="s">
        <v>57</v>
      </c>
      <c r="N404" s="1" t="s">
        <v>38</v>
      </c>
      <c r="O404" s="1" t="s">
        <v>39</v>
      </c>
      <c r="P404" s="1" t="s">
        <v>194</v>
      </c>
      <c r="Q404" s="10">
        <v>15000</v>
      </c>
      <c r="R404" s="13">
        <f t="shared" si="143"/>
        <v>105000</v>
      </c>
      <c r="S404" s="1">
        <f t="shared" si="144"/>
        <v>10500</v>
      </c>
      <c r="T404" s="1">
        <v>0</v>
      </c>
      <c r="U404" s="1">
        <f t="shared" si="145"/>
        <v>0</v>
      </c>
      <c r="V404" s="10" t="s">
        <v>41</v>
      </c>
      <c r="W404" s="1" t="s">
        <v>512</v>
      </c>
      <c r="X404" s="14">
        <f t="shared" si="146"/>
        <v>115500</v>
      </c>
      <c r="Y404" s="14">
        <f t="shared" si="147"/>
        <v>105000</v>
      </c>
      <c r="Z404" s="2">
        <f t="shared" si="148"/>
        <v>0.90909090909090906</v>
      </c>
      <c r="AA404" s="19">
        <v>0</v>
      </c>
      <c r="AB404" s="1">
        <f t="shared" si="149"/>
        <v>-104999.99999999999</v>
      </c>
      <c r="AC404" s="20">
        <f t="shared" si="152"/>
        <v>1</v>
      </c>
      <c r="AD404" s="21">
        <f t="shared" si="151"/>
        <v>10500.000000000015</v>
      </c>
    </row>
    <row r="405" spans="1:30" ht="21" customHeight="1">
      <c r="A405" s="26">
        <f t="shared" si="141"/>
        <v>405</v>
      </c>
      <c r="B405" s="9">
        <v>1</v>
      </c>
      <c r="C405" s="24">
        <v>2</v>
      </c>
      <c r="D405" s="1" t="s">
        <v>225</v>
      </c>
      <c r="E405" s="9" t="s">
        <v>672</v>
      </c>
      <c r="F405" s="10">
        <v>1</v>
      </c>
      <c r="G405" s="11">
        <f t="shared" si="142"/>
        <v>19800</v>
      </c>
      <c r="H405" s="31"/>
      <c r="I405" s="25" t="s">
        <v>220</v>
      </c>
      <c r="J405" s="100"/>
      <c r="K405" s="90"/>
      <c r="L405" s="12">
        <v>46020</v>
      </c>
      <c r="M405" s="25" t="s">
        <v>57</v>
      </c>
      <c r="N405" s="1" t="s">
        <v>38</v>
      </c>
      <c r="O405" s="1" t="s">
        <v>39</v>
      </c>
      <c r="P405" s="1" t="s">
        <v>559</v>
      </c>
      <c r="Q405" s="10">
        <v>18000</v>
      </c>
      <c r="R405" s="13">
        <f t="shared" si="143"/>
        <v>18000</v>
      </c>
      <c r="S405" s="1">
        <f t="shared" si="144"/>
        <v>1800</v>
      </c>
      <c r="T405" s="1">
        <v>0</v>
      </c>
      <c r="U405" s="1">
        <f t="shared" si="145"/>
        <v>0</v>
      </c>
      <c r="V405" s="10" t="s">
        <v>41</v>
      </c>
      <c r="W405" s="1" t="s">
        <v>512</v>
      </c>
      <c r="X405" s="14">
        <f t="shared" si="146"/>
        <v>19800</v>
      </c>
      <c r="Y405" s="14">
        <f t="shared" si="147"/>
        <v>18000</v>
      </c>
      <c r="Z405" s="2">
        <f t="shared" si="148"/>
        <v>0.90909090909090906</v>
      </c>
      <c r="AA405" s="19">
        <v>0</v>
      </c>
      <c r="AB405" s="1">
        <f t="shared" si="149"/>
        <v>-18000</v>
      </c>
      <c r="AC405" s="20">
        <f t="shared" si="152"/>
        <v>1</v>
      </c>
      <c r="AD405" s="21">
        <f t="shared" si="151"/>
        <v>1800</v>
      </c>
    </row>
    <row r="406" spans="1:30" ht="21" customHeight="1">
      <c r="A406" s="26">
        <f t="shared" si="141"/>
        <v>406</v>
      </c>
      <c r="B406" s="9">
        <v>1</v>
      </c>
      <c r="C406" s="24">
        <v>2</v>
      </c>
      <c r="D406" s="1" t="s">
        <v>225</v>
      </c>
      <c r="E406" s="9" t="s">
        <v>672</v>
      </c>
      <c r="F406" s="10">
        <v>3</v>
      </c>
      <c r="G406" s="11">
        <f t="shared" si="142"/>
        <v>66000</v>
      </c>
      <c r="H406" s="31"/>
      <c r="I406" s="25" t="s">
        <v>220</v>
      </c>
      <c r="J406" s="100"/>
      <c r="K406" s="90"/>
      <c r="L406" s="12">
        <v>46020</v>
      </c>
      <c r="M406" s="25" t="s">
        <v>57</v>
      </c>
      <c r="N406" s="1" t="s">
        <v>673</v>
      </c>
      <c r="O406" s="1" t="s">
        <v>143</v>
      </c>
      <c r="P406" s="1" t="s">
        <v>81</v>
      </c>
      <c r="Q406" s="10">
        <v>20000</v>
      </c>
      <c r="R406" s="13">
        <f t="shared" si="143"/>
        <v>60000</v>
      </c>
      <c r="S406" s="1">
        <f t="shared" si="144"/>
        <v>6000</v>
      </c>
      <c r="T406" s="1">
        <v>0</v>
      </c>
      <c r="U406" s="1">
        <f t="shared" si="145"/>
        <v>0</v>
      </c>
      <c r="V406" s="10" t="s">
        <v>41</v>
      </c>
      <c r="W406" s="1" t="s">
        <v>512</v>
      </c>
      <c r="X406" s="14">
        <f t="shared" si="146"/>
        <v>66000</v>
      </c>
      <c r="Y406" s="14">
        <f t="shared" si="147"/>
        <v>60000</v>
      </c>
      <c r="Z406" s="2">
        <f t="shared" si="148"/>
        <v>0.90909090909090906</v>
      </c>
      <c r="AA406" s="19">
        <v>0</v>
      </c>
      <c r="AB406" s="1">
        <f t="shared" si="149"/>
        <v>-59999.999999999993</v>
      </c>
      <c r="AC406" s="20">
        <f t="shared" si="152"/>
        <v>1</v>
      </c>
      <c r="AD406" s="21">
        <f t="shared" si="151"/>
        <v>6000.0000000000073</v>
      </c>
    </row>
    <row r="407" spans="1:30" ht="21" customHeight="1">
      <c r="A407" s="26">
        <f t="shared" si="141"/>
        <v>407</v>
      </c>
      <c r="B407" s="9">
        <v>1</v>
      </c>
      <c r="C407" s="24">
        <v>2</v>
      </c>
      <c r="D407" s="1" t="s">
        <v>225</v>
      </c>
      <c r="E407" s="9" t="s">
        <v>672</v>
      </c>
      <c r="F407" s="10">
        <v>1</v>
      </c>
      <c r="G407" s="11">
        <f t="shared" si="142"/>
        <v>66000</v>
      </c>
      <c r="H407" s="31"/>
      <c r="I407" s="25" t="s">
        <v>220</v>
      </c>
      <c r="J407" s="100"/>
      <c r="K407" s="90"/>
      <c r="L407" s="12">
        <v>46020</v>
      </c>
      <c r="M407" s="25" t="s">
        <v>57</v>
      </c>
      <c r="N407" s="1" t="s">
        <v>147</v>
      </c>
      <c r="O407" s="1" t="s">
        <v>143</v>
      </c>
      <c r="P407" s="1" t="s">
        <v>93</v>
      </c>
      <c r="Q407" s="10">
        <v>60000</v>
      </c>
      <c r="R407" s="13">
        <f t="shared" si="143"/>
        <v>60000</v>
      </c>
      <c r="S407" s="1">
        <f t="shared" si="144"/>
        <v>6000</v>
      </c>
      <c r="T407" s="1">
        <v>0</v>
      </c>
      <c r="U407" s="1">
        <f t="shared" si="145"/>
        <v>0</v>
      </c>
      <c r="V407" s="10" t="s">
        <v>41</v>
      </c>
      <c r="W407" s="1" t="s">
        <v>512</v>
      </c>
      <c r="X407" s="14">
        <f t="shared" si="146"/>
        <v>66000</v>
      </c>
      <c r="Y407" s="14">
        <f t="shared" si="147"/>
        <v>60000</v>
      </c>
      <c r="Z407" s="2">
        <f t="shared" si="148"/>
        <v>0.90909090909090906</v>
      </c>
      <c r="AA407" s="19">
        <v>0</v>
      </c>
      <c r="AB407" s="1">
        <f t="shared" si="149"/>
        <v>-59999.999999999993</v>
      </c>
      <c r="AC407" s="20">
        <f t="shared" si="152"/>
        <v>1</v>
      </c>
      <c r="AD407" s="21">
        <f t="shared" si="151"/>
        <v>6000.0000000000073</v>
      </c>
    </row>
    <row r="408" spans="1:30" ht="21" customHeight="1">
      <c r="A408" s="26">
        <f t="shared" si="141"/>
        <v>408</v>
      </c>
      <c r="B408" s="9">
        <v>1</v>
      </c>
      <c r="C408" s="24">
        <v>2</v>
      </c>
      <c r="D408" s="1" t="s">
        <v>225</v>
      </c>
      <c r="E408" s="9" t="s">
        <v>674</v>
      </c>
      <c r="F408" s="10">
        <v>1</v>
      </c>
      <c r="G408" s="11">
        <f t="shared" si="142"/>
        <v>44000</v>
      </c>
      <c r="H408" s="31"/>
      <c r="I408" s="25" t="s">
        <v>220</v>
      </c>
      <c r="J408" s="100"/>
      <c r="K408" s="90"/>
      <c r="L408" s="12">
        <v>46020</v>
      </c>
      <c r="M408" s="25" t="s">
        <v>57</v>
      </c>
      <c r="N408" s="1" t="s">
        <v>38</v>
      </c>
      <c r="O408" s="1" t="s">
        <v>39</v>
      </c>
      <c r="P408" s="1" t="s">
        <v>118</v>
      </c>
      <c r="Q408" s="10">
        <v>40000</v>
      </c>
      <c r="R408" s="13">
        <f t="shared" si="143"/>
        <v>40000</v>
      </c>
      <c r="S408" s="1">
        <f t="shared" si="144"/>
        <v>4000</v>
      </c>
      <c r="T408" s="1">
        <v>0</v>
      </c>
      <c r="U408" s="1">
        <f t="shared" si="145"/>
        <v>0</v>
      </c>
      <c r="V408" s="10" t="s">
        <v>41</v>
      </c>
      <c r="W408" s="1" t="s">
        <v>512</v>
      </c>
      <c r="X408" s="14">
        <f t="shared" si="146"/>
        <v>44000</v>
      </c>
      <c r="Y408" s="14">
        <f t="shared" si="147"/>
        <v>40000</v>
      </c>
      <c r="Z408" s="2">
        <f t="shared" si="148"/>
        <v>0.90909090909090906</v>
      </c>
      <c r="AA408" s="19">
        <v>0</v>
      </c>
      <c r="AB408" s="1">
        <f t="shared" si="149"/>
        <v>-40000</v>
      </c>
      <c r="AC408" s="20">
        <f t="shared" si="152"/>
        <v>1</v>
      </c>
      <c r="AD408" s="21">
        <f t="shared" si="151"/>
        <v>4000</v>
      </c>
    </row>
    <row r="409" spans="1:30" ht="21" customHeight="1">
      <c r="A409" s="26">
        <f t="shared" si="141"/>
        <v>409</v>
      </c>
      <c r="B409" s="9">
        <v>1</v>
      </c>
      <c r="C409" s="24">
        <v>2</v>
      </c>
      <c r="D409" s="1" t="s">
        <v>225</v>
      </c>
      <c r="E409" s="9" t="s">
        <v>675</v>
      </c>
      <c r="F409" s="10">
        <v>1</v>
      </c>
      <c r="G409" s="11">
        <f t="shared" si="142"/>
        <v>368500</v>
      </c>
      <c r="H409" s="31"/>
      <c r="I409" s="25" t="s">
        <v>220</v>
      </c>
      <c r="J409" s="99"/>
      <c r="K409" s="90"/>
      <c r="L409" s="12">
        <v>46020</v>
      </c>
      <c r="M409" s="25" t="s">
        <v>57</v>
      </c>
      <c r="N409" s="1" t="s">
        <v>147</v>
      </c>
      <c r="O409" s="1" t="s">
        <v>676</v>
      </c>
      <c r="P409" s="1" t="s">
        <v>677</v>
      </c>
      <c r="Q409" s="10">
        <v>310000</v>
      </c>
      <c r="R409" s="13">
        <f t="shared" si="143"/>
        <v>310000</v>
      </c>
      <c r="S409" s="1">
        <f t="shared" si="144"/>
        <v>31000</v>
      </c>
      <c r="T409" s="1">
        <v>25000</v>
      </c>
      <c r="U409" s="1">
        <f t="shared" si="145"/>
        <v>2500</v>
      </c>
      <c r="V409" s="10" t="s">
        <v>41</v>
      </c>
      <c r="W409" s="1" t="s">
        <v>512</v>
      </c>
      <c r="X409" s="14">
        <f t="shared" si="146"/>
        <v>368500</v>
      </c>
      <c r="Y409" s="14">
        <f t="shared" si="147"/>
        <v>337500</v>
      </c>
      <c r="Z409" s="2">
        <f t="shared" si="148"/>
        <v>0.91587516960651294</v>
      </c>
      <c r="AA409" s="19">
        <v>0</v>
      </c>
      <c r="AB409" s="1">
        <f t="shared" si="149"/>
        <v>-335000</v>
      </c>
      <c r="AC409" s="20">
        <f t="shared" ref="AC409:AC412" si="153">((G409/1.1) - (AA409/1.1)) / (G409/1.1) * 1</f>
        <v>1</v>
      </c>
      <c r="AD409" s="21">
        <f t="shared" si="151"/>
        <v>33500</v>
      </c>
    </row>
    <row r="410" spans="1:30" ht="21" customHeight="1">
      <c r="A410" s="26">
        <f t="shared" si="141"/>
        <v>410</v>
      </c>
      <c r="B410" s="9">
        <v>1</v>
      </c>
      <c r="C410" s="24">
        <v>2</v>
      </c>
      <c r="D410" s="1" t="s">
        <v>87</v>
      </c>
      <c r="E410" s="1" t="s">
        <v>678</v>
      </c>
      <c r="F410" s="10">
        <v>1</v>
      </c>
      <c r="G410" s="11">
        <f t="shared" si="142"/>
        <v>44000</v>
      </c>
      <c r="H410" s="31"/>
      <c r="I410" s="25"/>
      <c r="J410" s="99"/>
      <c r="K410" s="90"/>
      <c r="L410" s="25"/>
      <c r="M410" s="25"/>
      <c r="N410" s="1" t="s">
        <v>38</v>
      </c>
      <c r="O410" s="1" t="s">
        <v>39</v>
      </c>
      <c r="P410" s="1" t="s">
        <v>176</v>
      </c>
      <c r="Q410" s="10">
        <v>40000</v>
      </c>
      <c r="R410" s="13">
        <f t="shared" si="143"/>
        <v>40000</v>
      </c>
      <c r="S410" s="1">
        <f t="shared" si="144"/>
        <v>4000</v>
      </c>
      <c r="T410" s="1">
        <v>0</v>
      </c>
      <c r="U410" s="1">
        <f t="shared" si="145"/>
        <v>0</v>
      </c>
      <c r="V410" s="10" t="s">
        <v>41</v>
      </c>
      <c r="W410" s="1" t="s">
        <v>679</v>
      </c>
      <c r="X410" s="14">
        <f t="shared" si="146"/>
        <v>44000</v>
      </c>
      <c r="Y410" s="14">
        <f t="shared" si="147"/>
        <v>40000</v>
      </c>
      <c r="Z410" s="2">
        <f t="shared" si="148"/>
        <v>0.90909090909090906</v>
      </c>
      <c r="AA410" s="19">
        <v>0</v>
      </c>
      <c r="AB410" s="1">
        <f t="shared" si="149"/>
        <v>-40000</v>
      </c>
      <c r="AC410" s="20">
        <f t="shared" si="153"/>
        <v>1</v>
      </c>
      <c r="AD410" s="21">
        <f t="shared" si="151"/>
        <v>4000</v>
      </c>
    </row>
    <row r="411" spans="1:30" ht="21" customHeight="1">
      <c r="A411" s="26">
        <f t="shared" si="141"/>
        <v>411</v>
      </c>
      <c r="B411" s="9">
        <v>1</v>
      </c>
      <c r="C411" s="24">
        <v>2</v>
      </c>
      <c r="D411" s="1" t="s">
        <v>70</v>
      </c>
      <c r="E411" s="1" t="s">
        <v>680</v>
      </c>
      <c r="F411" s="10">
        <v>1</v>
      </c>
      <c r="G411" s="11">
        <f t="shared" si="142"/>
        <v>52800</v>
      </c>
      <c r="H411" s="31"/>
      <c r="I411" s="25"/>
      <c r="J411" s="99"/>
      <c r="K411" s="90"/>
      <c r="L411" s="25"/>
      <c r="M411" s="25"/>
      <c r="N411" s="1" t="s">
        <v>42</v>
      </c>
      <c r="O411" s="1"/>
      <c r="P411" s="1" t="s">
        <v>82</v>
      </c>
      <c r="Q411" s="10">
        <v>25000</v>
      </c>
      <c r="R411" s="13">
        <f t="shared" si="143"/>
        <v>25000</v>
      </c>
      <c r="S411" s="1">
        <f t="shared" si="144"/>
        <v>2500</v>
      </c>
      <c r="T411" s="1">
        <v>23000</v>
      </c>
      <c r="U411" s="1">
        <f t="shared" si="145"/>
        <v>2300</v>
      </c>
      <c r="V411" s="10" t="s">
        <v>41</v>
      </c>
      <c r="W411" s="1" t="s">
        <v>144</v>
      </c>
      <c r="X411" s="14">
        <f t="shared" si="146"/>
        <v>52800</v>
      </c>
      <c r="Y411" s="14">
        <f t="shared" si="147"/>
        <v>50300</v>
      </c>
      <c r="Z411" s="2">
        <f t="shared" si="148"/>
        <v>0.95265151515151514</v>
      </c>
      <c r="AA411" s="19">
        <v>0</v>
      </c>
      <c r="AB411" s="1">
        <f t="shared" si="149"/>
        <v>-47999.999999999993</v>
      </c>
      <c r="AC411" s="20">
        <f t="shared" si="153"/>
        <v>1</v>
      </c>
      <c r="AD411" s="21">
        <f t="shared" si="151"/>
        <v>4800.0000000000073</v>
      </c>
    </row>
    <row r="412" spans="1:30" ht="21" customHeight="1">
      <c r="A412" s="26">
        <f t="shared" si="141"/>
        <v>412</v>
      </c>
      <c r="B412" s="9">
        <v>1</v>
      </c>
      <c r="C412" s="24">
        <v>2</v>
      </c>
      <c r="D412" s="1" t="s">
        <v>85</v>
      </c>
      <c r="E412" s="1" t="s">
        <v>681</v>
      </c>
      <c r="F412" s="10">
        <v>1</v>
      </c>
      <c r="G412" s="11">
        <f t="shared" si="142"/>
        <v>20900</v>
      </c>
      <c r="H412" s="31"/>
      <c r="I412" s="25"/>
      <c r="J412" s="99"/>
      <c r="K412" s="90"/>
      <c r="L412" s="25"/>
      <c r="M412" s="25"/>
      <c r="N412" s="1" t="s">
        <v>38</v>
      </c>
      <c r="O412" s="1"/>
      <c r="P412" s="1" t="s">
        <v>217</v>
      </c>
      <c r="Q412" s="10">
        <v>15000</v>
      </c>
      <c r="R412" s="13">
        <f t="shared" si="143"/>
        <v>15000</v>
      </c>
      <c r="S412" s="1">
        <f t="shared" si="144"/>
        <v>1500</v>
      </c>
      <c r="T412" s="1">
        <v>4000</v>
      </c>
      <c r="U412" s="1">
        <f t="shared" si="145"/>
        <v>400</v>
      </c>
      <c r="V412" s="10" t="s">
        <v>41</v>
      </c>
      <c r="W412" s="1" t="s">
        <v>85</v>
      </c>
      <c r="X412" s="14">
        <f t="shared" si="146"/>
        <v>20900</v>
      </c>
      <c r="Y412" s="14">
        <f t="shared" si="147"/>
        <v>19400</v>
      </c>
      <c r="Z412" s="2">
        <f t="shared" si="148"/>
        <v>0.92822966507177029</v>
      </c>
      <c r="AA412" s="19">
        <v>0</v>
      </c>
      <c r="AB412" s="1">
        <f t="shared" si="149"/>
        <v>-19000</v>
      </c>
      <c r="AC412" s="20">
        <f t="shared" si="153"/>
        <v>1</v>
      </c>
      <c r="AD412" s="21">
        <f t="shared" si="151"/>
        <v>1900</v>
      </c>
    </row>
    <row r="413" spans="1:30" ht="2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"/>
      <c r="AA413" s="1"/>
      <c r="AB413" s="1"/>
      <c r="AC413" s="1"/>
      <c r="AD413" s="1"/>
    </row>
    <row r="414" spans="1:30" ht="2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"/>
      <c r="AA414" s="1"/>
      <c r="AB414" s="1"/>
      <c r="AC414" s="1"/>
      <c r="AD414" s="1"/>
    </row>
    <row r="415" spans="1:30" ht="2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"/>
      <c r="AA415" s="1"/>
      <c r="AB415" s="1"/>
      <c r="AC415" s="1"/>
      <c r="AD415" s="1"/>
    </row>
    <row r="416" spans="1:30" ht="2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"/>
      <c r="AA416" s="1"/>
      <c r="AB416" s="1"/>
      <c r="AC416" s="1"/>
      <c r="AD416" s="1"/>
    </row>
    <row r="417" spans="1:30" ht="2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2"/>
      <c r="AA417" s="1"/>
      <c r="AB417" s="1"/>
      <c r="AC417" s="1"/>
      <c r="AD417" s="1"/>
    </row>
    <row r="418" spans="1:30" ht="2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2"/>
      <c r="AA418" s="1"/>
      <c r="AB418" s="1"/>
      <c r="AC418" s="1"/>
      <c r="AD418" s="1"/>
    </row>
    <row r="419" spans="1:30" ht="2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"/>
      <c r="AA419" s="1"/>
      <c r="AB419" s="1"/>
      <c r="AC419" s="1"/>
      <c r="AD419" s="1"/>
    </row>
    <row r="420" spans="1:30" ht="2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"/>
      <c r="AA420" s="1"/>
      <c r="AB420" s="1"/>
      <c r="AC420" s="1"/>
      <c r="AD420" s="1"/>
    </row>
    <row r="421" spans="1:30" ht="2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2"/>
      <c r="AA421" s="1"/>
      <c r="AB421" s="1"/>
      <c r="AC421" s="1"/>
      <c r="AD421" s="1"/>
    </row>
    <row r="422" spans="1:30" ht="2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2"/>
      <c r="AA422" s="1"/>
      <c r="AB422" s="1"/>
      <c r="AC422" s="1"/>
      <c r="AD422" s="1"/>
    </row>
    <row r="423" spans="1:30" ht="2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2"/>
      <c r="AA423" s="1"/>
      <c r="AB423" s="1"/>
      <c r="AC423" s="1"/>
      <c r="AD423" s="1"/>
    </row>
    <row r="424" spans="1:30" ht="2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2"/>
      <c r="AA424" s="1"/>
      <c r="AB424" s="1"/>
      <c r="AC424" s="1"/>
      <c r="AD424" s="1"/>
    </row>
    <row r="425" spans="1:30" ht="2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2"/>
      <c r="AA425" s="1"/>
      <c r="AB425" s="1"/>
      <c r="AC425" s="1"/>
      <c r="AD425" s="1"/>
    </row>
    <row r="426" spans="1:30" ht="2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"/>
      <c r="AA426" s="1"/>
      <c r="AB426" s="1"/>
      <c r="AC426" s="1"/>
      <c r="AD426" s="1"/>
    </row>
    <row r="427" spans="1:30" ht="2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"/>
      <c r="AA427" s="1"/>
      <c r="AB427" s="1"/>
      <c r="AC427" s="1"/>
      <c r="AD427" s="1"/>
    </row>
    <row r="428" spans="1:30" ht="2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"/>
      <c r="AA428" s="1"/>
      <c r="AB428" s="1"/>
      <c r="AC428" s="1"/>
      <c r="AD428" s="1"/>
    </row>
    <row r="429" spans="1:30" ht="2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"/>
      <c r="AA429" s="1"/>
      <c r="AB429" s="1"/>
      <c r="AC429" s="1"/>
      <c r="AD429" s="1"/>
    </row>
    <row r="430" spans="1:30" ht="2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2"/>
      <c r="AA430" s="1"/>
      <c r="AB430" s="1"/>
      <c r="AC430" s="1"/>
      <c r="AD430" s="1"/>
    </row>
    <row r="431" spans="1:30" ht="2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2"/>
      <c r="AA431" s="1"/>
      <c r="AB431" s="1"/>
      <c r="AC431" s="1"/>
      <c r="AD431" s="1"/>
    </row>
    <row r="432" spans="1:30" ht="2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2"/>
      <c r="AA432" s="1"/>
      <c r="AB432" s="1"/>
      <c r="AC432" s="1"/>
      <c r="AD432" s="1"/>
    </row>
    <row r="433" spans="1:30" ht="2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2"/>
      <c r="AA433" s="1"/>
      <c r="AB433" s="1"/>
      <c r="AC433" s="1"/>
      <c r="AD433" s="1"/>
    </row>
    <row r="434" spans="1:30" ht="2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2"/>
      <c r="AA434" s="1"/>
      <c r="AB434" s="1"/>
      <c r="AC434" s="1"/>
      <c r="AD434" s="1"/>
    </row>
    <row r="435" spans="1:30" ht="2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"/>
      <c r="AA435" s="1"/>
      <c r="AB435" s="1"/>
      <c r="AC435" s="1"/>
      <c r="AD435" s="1"/>
    </row>
    <row r="436" spans="1:30" ht="2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"/>
      <c r="AA436" s="1"/>
      <c r="AB436" s="1"/>
      <c r="AC436" s="1"/>
      <c r="AD436" s="1"/>
    </row>
    <row r="437" spans="1:30" ht="2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"/>
      <c r="AA437" s="1"/>
      <c r="AB437" s="1"/>
      <c r="AC437" s="1"/>
      <c r="AD437" s="1"/>
    </row>
    <row r="438" spans="1:30" ht="2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"/>
      <c r="AA438" s="1"/>
      <c r="AB438" s="1"/>
      <c r="AC438" s="1"/>
      <c r="AD438" s="1"/>
    </row>
    <row r="439" spans="1:30" ht="2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"/>
      <c r="AA439" s="1"/>
      <c r="AB439" s="1"/>
      <c r="AC439" s="1"/>
      <c r="AD439" s="1"/>
    </row>
    <row r="440" spans="1:30" ht="2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2"/>
      <c r="AA440" s="1"/>
      <c r="AB440" s="1"/>
      <c r="AC440" s="1"/>
      <c r="AD440" s="1"/>
    </row>
    <row r="441" spans="1:30" ht="2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2"/>
      <c r="AA441" s="1"/>
      <c r="AB441" s="1"/>
      <c r="AC441" s="1"/>
      <c r="AD441" s="1"/>
    </row>
    <row r="442" spans="1:30" ht="2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2"/>
      <c r="AA442" s="1"/>
      <c r="AB442" s="1"/>
      <c r="AC442" s="1"/>
      <c r="AD442" s="1"/>
    </row>
    <row r="443" spans="1:30" ht="2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2"/>
      <c r="AA443" s="1"/>
      <c r="AB443" s="1"/>
      <c r="AC443" s="1"/>
      <c r="AD443" s="1"/>
    </row>
    <row r="444" spans="1:30" ht="2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2"/>
      <c r="AA444" s="1"/>
      <c r="AB444" s="1"/>
      <c r="AC444" s="1"/>
      <c r="AD444" s="1"/>
    </row>
    <row r="445" spans="1:30" ht="2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2"/>
      <c r="AA445" s="1"/>
      <c r="AB445" s="1"/>
      <c r="AC445" s="1"/>
      <c r="AD445" s="1"/>
    </row>
    <row r="446" spans="1:30" ht="2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2"/>
      <c r="AA446" s="1"/>
      <c r="AB446" s="1"/>
      <c r="AC446" s="1"/>
      <c r="AD446" s="1"/>
    </row>
    <row r="447" spans="1:30" ht="2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2"/>
      <c r="AA447" s="1"/>
      <c r="AB447" s="1"/>
      <c r="AC447" s="1"/>
      <c r="AD447" s="1"/>
    </row>
    <row r="448" spans="1:30" ht="2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"/>
      <c r="AA448" s="1"/>
      <c r="AB448" s="1"/>
      <c r="AC448" s="1"/>
      <c r="AD448" s="1"/>
    </row>
    <row r="449" spans="1:30" ht="2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"/>
      <c r="AA449" s="1"/>
      <c r="AB449" s="1"/>
      <c r="AC449" s="1"/>
      <c r="AD449" s="1"/>
    </row>
    <row r="450" spans="1:30" ht="2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"/>
      <c r="AA450" s="1"/>
      <c r="AB450" s="1"/>
      <c r="AC450" s="1"/>
      <c r="AD450" s="1"/>
    </row>
    <row r="451" spans="1:30" ht="2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"/>
      <c r="AA451" s="1"/>
      <c r="AB451" s="1"/>
      <c r="AC451" s="1"/>
      <c r="AD451" s="1"/>
    </row>
    <row r="452" spans="1:30" ht="2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"/>
      <c r="AA452" s="1"/>
      <c r="AB452" s="1"/>
      <c r="AC452" s="1"/>
      <c r="AD452" s="1"/>
    </row>
    <row r="453" spans="1:30" ht="2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2"/>
      <c r="AA453" s="1"/>
      <c r="AB453" s="1"/>
      <c r="AC453" s="1"/>
      <c r="AD453" s="1"/>
    </row>
    <row r="454" spans="1:30" ht="2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2"/>
      <c r="AA454" s="1"/>
      <c r="AB454" s="1"/>
      <c r="AC454" s="1"/>
      <c r="AD454" s="1"/>
    </row>
    <row r="455" spans="1:30" ht="2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2"/>
      <c r="AA455" s="1"/>
      <c r="AB455" s="1"/>
      <c r="AC455" s="1"/>
      <c r="AD455" s="1"/>
    </row>
    <row r="456" spans="1:30" ht="2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"/>
      <c r="AA456" s="1"/>
      <c r="AB456" s="1"/>
      <c r="AC456" s="1"/>
      <c r="AD456" s="1"/>
    </row>
    <row r="457" spans="1:30" ht="2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"/>
      <c r="AA457" s="1"/>
      <c r="AB457" s="1"/>
      <c r="AC457" s="1"/>
      <c r="AD457" s="1"/>
    </row>
    <row r="458" spans="1:30" ht="2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2"/>
      <c r="AA458" s="1"/>
      <c r="AB458" s="1"/>
      <c r="AC458" s="1"/>
      <c r="AD458" s="1"/>
    </row>
    <row r="459" spans="1:30" ht="2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2"/>
      <c r="AA459" s="1"/>
      <c r="AB459" s="1"/>
      <c r="AC459" s="1"/>
      <c r="AD459" s="1"/>
    </row>
    <row r="460" spans="1:30" ht="2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2"/>
      <c r="AA460" s="1"/>
      <c r="AB460" s="1"/>
      <c r="AC460" s="1"/>
      <c r="AD460" s="1"/>
    </row>
    <row r="461" spans="1:30" ht="2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2"/>
      <c r="AA461" s="1"/>
      <c r="AB461" s="1"/>
      <c r="AC461" s="1"/>
      <c r="AD461" s="1"/>
    </row>
    <row r="462" spans="1:30" ht="2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2"/>
      <c r="AA462" s="1"/>
      <c r="AB462" s="1"/>
      <c r="AC462" s="1"/>
      <c r="AD462" s="1"/>
    </row>
    <row r="463" spans="1:30" ht="2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2"/>
      <c r="AA463" s="1"/>
      <c r="AB463" s="1"/>
      <c r="AC463" s="1"/>
      <c r="AD463" s="1"/>
    </row>
    <row r="464" spans="1:30" ht="2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"/>
      <c r="AA464" s="1"/>
      <c r="AB464" s="1"/>
      <c r="AC464" s="1"/>
      <c r="AD464" s="1"/>
    </row>
    <row r="465" spans="1:30" ht="2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"/>
      <c r="AA465" s="1"/>
      <c r="AB465" s="1"/>
      <c r="AC465" s="1"/>
      <c r="AD465" s="1"/>
    </row>
    <row r="466" spans="1:30" ht="2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"/>
      <c r="AA466" s="1"/>
      <c r="AB466" s="1"/>
      <c r="AC466" s="1"/>
      <c r="AD466" s="1"/>
    </row>
    <row r="467" spans="1:30" ht="2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2"/>
      <c r="AA467" s="1"/>
      <c r="AB467" s="1"/>
      <c r="AC467" s="1"/>
      <c r="AD467" s="1"/>
    </row>
    <row r="468" spans="1:30" ht="2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2"/>
      <c r="AA468" s="1"/>
      <c r="AB468" s="1"/>
      <c r="AC468" s="1"/>
      <c r="AD468" s="1"/>
    </row>
    <row r="469" spans="1:30" ht="2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2"/>
      <c r="AA469" s="1"/>
      <c r="AB469" s="1"/>
      <c r="AC469" s="1"/>
      <c r="AD469" s="1"/>
    </row>
    <row r="470" spans="1:30" ht="2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2"/>
      <c r="AA470" s="1"/>
      <c r="AB470" s="1"/>
      <c r="AC470" s="1"/>
      <c r="AD470" s="1"/>
    </row>
    <row r="471" spans="1:30" ht="2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"/>
      <c r="AA471" s="1"/>
      <c r="AB471" s="1"/>
      <c r="AC471" s="1"/>
      <c r="AD471" s="1"/>
    </row>
    <row r="472" spans="1:30" ht="2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"/>
      <c r="AA472" s="1"/>
      <c r="AB472" s="1"/>
      <c r="AC472" s="1"/>
      <c r="AD472" s="1"/>
    </row>
    <row r="473" spans="1:30" ht="2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2"/>
      <c r="AA473" s="1"/>
      <c r="AB473" s="1"/>
      <c r="AC473" s="1"/>
      <c r="AD473" s="1"/>
    </row>
    <row r="474" spans="1:30" ht="2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2"/>
      <c r="AA474" s="1"/>
      <c r="AB474" s="1"/>
      <c r="AC474" s="1"/>
      <c r="AD474" s="1"/>
    </row>
    <row r="475" spans="1:30" ht="2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2"/>
      <c r="AA475" s="1"/>
      <c r="AB475" s="1"/>
      <c r="AC475" s="1"/>
      <c r="AD475" s="1"/>
    </row>
    <row r="476" spans="1:30" ht="2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2"/>
      <c r="AA476" s="1"/>
      <c r="AB476" s="1"/>
      <c r="AC476" s="1"/>
      <c r="AD476" s="1"/>
    </row>
    <row r="477" spans="1:30" ht="2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2"/>
      <c r="AA477" s="1"/>
      <c r="AB477" s="1"/>
      <c r="AC477" s="1"/>
      <c r="AD477" s="1"/>
    </row>
    <row r="478" spans="1:30" ht="2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"/>
      <c r="AA478" s="1"/>
      <c r="AB478" s="1"/>
      <c r="AC478" s="1"/>
      <c r="AD478" s="1"/>
    </row>
    <row r="479" spans="1:30" ht="2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"/>
      <c r="AA479" s="1"/>
      <c r="AB479" s="1"/>
      <c r="AC479" s="1"/>
      <c r="AD479" s="1"/>
    </row>
    <row r="480" spans="1:30" ht="2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"/>
      <c r="AA480" s="1"/>
      <c r="AB480" s="1"/>
      <c r="AC480" s="1"/>
      <c r="AD480" s="1"/>
    </row>
    <row r="481" spans="1:30" ht="2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2"/>
      <c r="AA481" s="1"/>
      <c r="AB481" s="1"/>
      <c r="AC481" s="1"/>
      <c r="AD481" s="1"/>
    </row>
    <row r="482" spans="1:30" ht="2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2"/>
      <c r="AA482" s="1"/>
      <c r="AB482" s="1"/>
      <c r="AC482" s="1"/>
      <c r="AD482" s="1"/>
    </row>
    <row r="483" spans="1:30" ht="2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2"/>
      <c r="AA483" s="1"/>
      <c r="AB483" s="1"/>
      <c r="AC483" s="1"/>
      <c r="AD483" s="1"/>
    </row>
    <row r="484" spans="1:30" ht="2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2"/>
      <c r="AA484" s="1"/>
      <c r="AB484" s="1"/>
      <c r="AC484" s="1"/>
      <c r="AD484" s="1"/>
    </row>
    <row r="485" spans="1:30" ht="2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"/>
      <c r="AA485" s="1"/>
      <c r="AB485" s="1"/>
      <c r="AC485" s="1"/>
      <c r="AD485" s="1"/>
    </row>
    <row r="486" spans="1:30" ht="2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"/>
      <c r="AA486" s="1"/>
      <c r="AB486" s="1"/>
      <c r="AC486" s="1"/>
      <c r="AD486" s="1"/>
    </row>
    <row r="487" spans="1:30" ht="2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2"/>
      <c r="AA487" s="1"/>
      <c r="AB487" s="1"/>
      <c r="AC487" s="1"/>
      <c r="AD487" s="1"/>
    </row>
    <row r="488" spans="1:30" ht="2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2"/>
      <c r="AA488" s="1"/>
      <c r="AB488" s="1"/>
      <c r="AC488" s="1"/>
      <c r="AD488" s="1"/>
    </row>
    <row r="489" spans="1:30" ht="2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2"/>
      <c r="AA489" s="1"/>
      <c r="AB489" s="1"/>
      <c r="AC489" s="1"/>
      <c r="AD489" s="1"/>
    </row>
    <row r="490" spans="1:30" ht="2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2"/>
      <c r="AA490" s="1"/>
      <c r="AB490" s="1"/>
      <c r="AC490" s="1"/>
      <c r="AD490" s="1"/>
    </row>
    <row r="491" spans="1:30" ht="2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"/>
      <c r="AA491" s="1"/>
      <c r="AB491" s="1"/>
      <c r="AC491" s="1"/>
      <c r="AD491" s="1"/>
    </row>
    <row r="492" spans="1:30" ht="2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"/>
      <c r="AA492" s="1"/>
      <c r="AB492" s="1"/>
      <c r="AC492" s="1"/>
      <c r="AD492" s="1"/>
    </row>
    <row r="493" spans="1:30" ht="2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2"/>
      <c r="AA493" s="1"/>
      <c r="AB493" s="1"/>
      <c r="AC493" s="1"/>
      <c r="AD493" s="1"/>
    </row>
    <row r="494" spans="1:30" ht="2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2"/>
      <c r="AA494" s="1"/>
      <c r="AB494" s="1"/>
      <c r="AC494" s="1"/>
      <c r="AD494" s="1"/>
    </row>
    <row r="495" spans="1:30" ht="2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2"/>
      <c r="AA495" s="1"/>
      <c r="AB495" s="1"/>
      <c r="AC495" s="1"/>
      <c r="AD495" s="1"/>
    </row>
    <row r="496" spans="1:30" ht="2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2"/>
      <c r="AA496" s="1"/>
      <c r="AB496" s="1"/>
      <c r="AC496" s="1"/>
      <c r="AD496" s="1"/>
    </row>
    <row r="497" spans="1:30" ht="2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"/>
      <c r="AA497" s="1"/>
      <c r="AB497" s="1"/>
      <c r="AC497" s="1"/>
      <c r="AD497" s="1"/>
    </row>
    <row r="498" spans="1:30" ht="2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"/>
      <c r="AA498" s="1"/>
      <c r="AB498" s="1"/>
      <c r="AC498" s="1"/>
      <c r="AD498" s="1"/>
    </row>
    <row r="499" spans="1:30" ht="2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2"/>
      <c r="AA499" s="1"/>
      <c r="AB499" s="1"/>
      <c r="AC499" s="1"/>
      <c r="AD499" s="1"/>
    </row>
    <row r="500" spans="1:30" ht="2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"/>
      <c r="AA500" s="1"/>
      <c r="AB500" s="1"/>
      <c r="AC500" s="1"/>
      <c r="AD500" s="1"/>
    </row>
    <row r="501" spans="1:30" ht="2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"/>
      <c r="AA501" s="1"/>
      <c r="AB501" s="1"/>
      <c r="AC501" s="1"/>
      <c r="AD501" s="1"/>
    </row>
    <row r="502" spans="1:30" ht="2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"/>
      <c r="AA502" s="1"/>
      <c r="AB502" s="1"/>
      <c r="AC502" s="1"/>
      <c r="AD502" s="1"/>
    </row>
    <row r="503" spans="1:30" ht="2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2"/>
      <c r="AA503" s="1"/>
      <c r="AB503" s="1"/>
      <c r="AC503" s="1"/>
      <c r="AD503" s="1"/>
    </row>
    <row r="504" spans="1:30" ht="2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2"/>
      <c r="AA504" s="1"/>
      <c r="AB504" s="1"/>
      <c r="AC504" s="1"/>
      <c r="AD504" s="1"/>
    </row>
    <row r="505" spans="1:30" ht="2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2"/>
      <c r="AA505" s="1"/>
      <c r="AB505" s="1"/>
      <c r="AC505" s="1"/>
      <c r="AD505" s="1"/>
    </row>
    <row r="506" spans="1:30" ht="2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2"/>
      <c r="AA506" s="1"/>
      <c r="AB506" s="1"/>
      <c r="AC506" s="1"/>
      <c r="AD506" s="1"/>
    </row>
    <row r="507" spans="1:30" ht="2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2"/>
      <c r="AA507" s="1"/>
      <c r="AB507" s="1"/>
      <c r="AC507" s="1"/>
      <c r="AD507" s="1"/>
    </row>
    <row r="508" spans="1:30" ht="2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2"/>
      <c r="AA508" s="1"/>
      <c r="AB508" s="1"/>
      <c r="AC508" s="1"/>
      <c r="AD508" s="1"/>
    </row>
    <row r="509" spans="1:30" ht="2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2"/>
      <c r="AA509" s="1"/>
      <c r="AB509" s="1"/>
      <c r="AC509" s="1"/>
      <c r="AD509" s="1"/>
    </row>
    <row r="510" spans="1:30" ht="2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2"/>
      <c r="AA510" s="1"/>
      <c r="AB510" s="1"/>
      <c r="AC510" s="1"/>
      <c r="AD510" s="1"/>
    </row>
    <row r="511" spans="1:30" ht="2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2"/>
      <c r="AA511" s="1"/>
      <c r="AB511" s="1"/>
      <c r="AC511" s="1"/>
      <c r="AD511" s="1"/>
    </row>
    <row r="512" spans="1:30" ht="2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2"/>
      <c r="AA512" s="1"/>
      <c r="AB512" s="1"/>
      <c r="AC512" s="1"/>
      <c r="AD512" s="1"/>
    </row>
    <row r="513" spans="1:30" ht="2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2"/>
      <c r="AA513" s="1"/>
      <c r="AB513" s="1"/>
      <c r="AC513" s="1"/>
      <c r="AD513" s="1"/>
    </row>
    <row r="514" spans="1:30" ht="2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2"/>
      <c r="AA514" s="1"/>
      <c r="AB514" s="1"/>
      <c r="AC514" s="1"/>
      <c r="AD514" s="1"/>
    </row>
    <row r="515" spans="1:30" ht="2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2"/>
      <c r="AA515" s="1"/>
      <c r="AB515" s="1"/>
      <c r="AC515" s="1"/>
      <c r="AD515" s="1"/>
    </row>
    <row r="516" spans="1:30" ht="2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"/>
      <c r="AA516" s="1"/>
      <c r="AB516" s="1"/>
      <c r="AC516" s="1"/>
      <c r="AD516" s="1"/>
    </row>
    <row r="517" spans="1:30" ht="2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"/>
      <c r="AA517" s="1"/>
      <c r="AB517" s="1"/>
      <c r="AC517" s="1"/>
      <c r="AD517" s="1"/>
    </row>
    <row r="518" spans="1:30" ht="15.75" customHeight="1"/>
    <row r="519" spans="1:30" ht="15.75" customHeight="1"/>
    <row r="520" spans="1:30" ht="15.75" customHeight="1"/>
    <row r="521" spans="1:30" ht="15.75" customHeight="1"/>
    <row r="522" spans="1:30" ht="15.75" customHeight="1"/>
    <row r="523" spans="1:30" ht="15.75" customHeight="1"/>
    <row r="524" spans="1:30" ht="15.75" customHeight="1"/>
    <row r="525" spans="1:30" ht="15.75" customHeight="1"/>
    <row r="526" spans="1:30" ht="15.75" customHeight="1"/>
    <row r="527" spans="1:30" ht="15.75" customHeight="1"/>
    <row r="528" spans="1:30" ht="15.75" customHeight="1"/>
    <row r="529" ht="15.75" customHeight="1"/>
  </sheetData>
  <autoFilter ref="D1:D529" xr:uid="{00000000-0009-0000-0000-000000000000}"/>
  <mergeCells count="422">
    <mergeCell ref="J334:K334"/>
    <mergeCell ref="J335:K335"/>
    <mergeCell ref="J336:K336"/>
    <mergeCell ref="J337:K337"/>
    <mergeCell ref="J338:K338"/>
    <mergeCell ref="J339:K339"/>
    <mergeCell ref="J340:K340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30:K330"/>
    <mergeCell ref="J331:K331"/>
    <mergeCell ref="J332:K332"/>
    <mergeCell ref="J333:K333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29:K229"/>
    <mergeCell ref="J230:K230"/>
    <mergeCell ref="J231:K231"/>
    <mergeCell ref="J232:K232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7:K177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93:K93"/>
    <mergeCell ref="J94:K94"/>
    <mergeCell ref="J95:K95"/>
    <mergeCell ref="J96:K96"/>
    <mergeCell ref="J97:K97"/>
    <mergeCell ref="J98:K98"/>
    <mergeCell ref="J99:K99"/>
    <mergeCell ref="J100:K100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75:K75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390:K390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3:K53"/>
    <mergeCell ref="J54:K54"/>
    <mergeCell ref="J55:K55"/>
    <mergeCell ref="J56:K56"/>
    <mergeCell ref="J57:K57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6:K396"/>
    <mergeCell ref="J397:K397"/>
    <mergeCell ref="J406:K406"/>
    <mergeCell ref="J407:K407"/>
    <mergeCell ref="J408:K408"/>
    <mergeCell ref="J409:K409"/>
    <mergeCell ref="J410:K410"/>
    <mergeCell ref="J411:K411"/>
    <mergeCell ref="J412:K412"/>
    <mergeCell ref="J398:K398"/>
    <mergeCell ref="J399:K399"/>
    <mergeCell ref="J401:K401"/>
    <mergeCell ref="J402:K402"/>
    <mergeCell ref="J403:K403"/>
    <mergeCell ref="J404:K404"/>
    <mergeCell ref="J405:K405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391:K391"/>
    <mergeCell ref="J392:K392"/>
    <mergeCell ref="J393:K393"/>
    <mergeCell ref="J394:K394"/>
    <mergeCell ref="J395:K395"/>
    <mergeCell ref="J357:K357"/>
    <mergeCell ref="J358:K358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E1:M1"/>
    <mergeCell ref="A3:A4"/>
    <mergeCell ref="B3:C3"/>
    <mergeCell ref="E3:E4"/>
    <mergeCell ref="F3:F4"/>
    <mergeCell ref="G3:G4"/>
    <mergeCell ref="J3:K3"/>
    <mergeCell ref="Z3:Z4"/>
    <mergeCell ref="AA3:AA4"/>
    <mergeCell ref="S3:S4"/>
    <mergeCell ref="T3:T4"/>
    <mergeCell ref="U3:U4"/>
    <mergeCell ref="V3:V4"/>
    <mergeCell ref="W3:W4"/>
    <mergeCell ref="X3:X4"/>
    <mergeCell ref="Y3:Y4"/>
    <mergeCell ref="L3:L4"/>
    <mergeCell ref="M3:M4"/>
    <mergeCell ref="N3:N4"/>
    <mergeCell ref="O3:O4"/>
    <mergeCell ref="P3:P4"/>
    <mergeCell ref="Q3:Q4"/>
    <mergeCell ref="R3:R4"/>
  </mergeCells>
  <phoneticPr fontId="21" type="noConversion"/>
  <pageMargins left="0.70866141732283472" right="0.70866141732283472" top="0.74803149606299213" bottom="0.74803149606299213" header="0" footer="0"/>
  <pageSetup paperSize="9" orientation="portrait"/>
  <colBreaks count="1" manualBreakCount="1">
    <brk id="1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baseColWidth="10" defaultColWidth="14.5" defaultRowHeight="15" customHeight="1"/>
  <cols>
    <col min="1" max="1" width="5.5" customWidth="1"/>
    <col min="2" max="3" width="4.33203125" customWidth="1"/>
    <col min="4" max="4" width="20.5" customWidth="1"/>
    <col min="5" max="5" width="40.83203125" customWidth="1"/>
    <col min="6" max="7" width="10.5" customWidth="1"/>
    <col min="8" max="9" width="5.5" customWidth="1"/>
    <col min="10" max="11" width="7.5" customWidth="1"/>
    <col min="12" max="12" width="20.5" customWidth="1"/>
    <col min="13" max="26" width="8.6640625" customWidth="1"/>
  </cols>
  <sheetData>
    <row r="1" spans="1:26" ht="56.25" customHeight="1">
      <c r="A1" s="48"/>
      <c r="B1" s="48"/>
      <c r="C1" s="48"/>
      <c r="D1" s="49">
        <v>2024</v>
      </c>
      <c r="E1" s="50">
        <v>1</v>
      </c>
      <c r="F1" s="102" t="s">
        <v>682</v>
      </c>
      <c r="G1" s="90"/>
      <c r="H1" s="90"/>
      <c r="I1" s="90"/>
      <c r="J1" s="90"/>
      <c r="K1" s="90"/>
      <c r="L1" s="48"/>
      <c r="M1" s="51"/>
    </row>
    <row r="2" spans="1:26" ht="24.75" customHeight="1">
      <c r="A2" s="48"/>
      <c r="B2" s="48"/>
      <c r="C2" s="48"/>
      <c r="D2" s="48"/>
      <c r="E2" s="48"/>
      <c r="F2" s="48"/>
      <c r="G2" s="48"/>
      <c r="H2" s="48"/>
      <c r="I2" s="48"/>
      <c r="J2" s="52"/>
      <c r="K2" s="52"/>
      <c r="L2" s="48"/>
      <c r="M2" s="51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24.75" customHeight="1">
      <c r="A3" s="103" t="s">
        <v>683</v>
      </c>
      <c r="B3" s="90"/>
      <c r="C3" s="90"/>
      <c r="D3" s="54" t="s">
        <v>684</v>
      </c>
      <c r="E3" s="54" t="s">
        <v>685</v>
      </c>
      <c r="F3" s="103" t="s">
        <v>686</v>
      </c>
      <c r="G3" s="90"/>
      <c r="H3" s="103" t="s">
        <v>687</v>
      </c>
      <c r="I3" s="90"/>
      <c r="J3" s="90"/>
      <c r="K3" s="90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24.75" customHeight="1">
      <c r="A4" s="111">
        <f>COUNTIF($B$10:$B$524,E1)</f>
        <v>0</v>
      </c>
      <c r="B4" s="90"/>
      <c r="C4" s="90"/>
      <c r="D4" s="55">
        <f>SUMIF($B$10:$B$524,E1,F10:F524)</f>
        <v>0</v>
      </c>
      <c r="E4" s="56">
        <f>SUMIF($B$10:$B$524,E1,G10:G524)</f>
        <v>0</v>
      </c>
      <c r="F4" s="104">
        <f>SUMIF(H10:H524,E1,G10:G524)</f>
        <v>0</v>
      </c>
      <c r="G4" s="90"/>
      <c r="H4" s="105">
        <f>E4-F4</f>
        <v>0</v>
      </c>
      <c r="I4" s="90"/>
      <c r="J4" s="90"/>
      <c r="K4" s="90"/>
      <c r="L4" s="57"/>
      <c r="M4" s="58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spans="1:26" ht="24.75" customHeight="1">
      <c r="A5" s="48"/>
      <c r="B5" s="48"/>
      <c r="C5" s="48"/>
      <c r="D5" s="48"/>
      <c r="E5" s="48"/>
      <c r="F5" s="48"/>
      <c r="G5" s="48"/>
      <c r="H5" s="48"/>
      <c r="I5" s="48"/>
      <c r="J5" s="52"/>
      <c r="K5" s="52"/>
      <c r="L5" s="48"/>
      <c r="M5" s="51"/>
    </row>
    <row r="6" spans="1:26" ht="18" customHeight="1">
      <c r="A6" s="59"/>
      <c r="B6" s="59"/>
      <c r="C6" s="59"/>
      <c r="D6" s="59"/>
      <c r="E6" s="59"/>
      <c r="F6" s="59"/>
      <c r="G6" s="59"/>
      <c r="H6" s="59"/>
      <c r="I6" s="59"/>
      <c r="J6" s="60"/>
      <c r="K6" s="106"/>
      <c r="L6" s="90"/>
      <c r="M6" s="51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21.75" customHeight="1">
      <c r="A7" s="112" t="s">
        <v>688</v>
      </c>
      <c r="B7" s="107" t="s">
        <v>2</v>
      </c>
      <c r="C7" s="90"/>
      <c r="D7" s="107" t="s">
        <v>689</v>
      </c>
      <c r="E7" s="107" t="s">
        <v>11</v>
      </c>
      <c r="F7" s="107" t="s">
        <v>4</v>
      </c>
      <c r="G7" s="107" t="s">
        <v>690</v>
      </c>
      <c r="H7" s="107" t="s">
        <v>8</v>
      </c>
      <c r="I7" s="90"/>
      <c r="J7" s="108" t="s">
        <v>9</v>
      </c>
      <c r="K7" s="108" t="s">
        <v>10</v>
      </c>
      <c r="L7" s="107" t="s">
        <v>691</v>
      </c>
      <c r="M7" s="51"/>
    </row>
    <row r="8" spans="1:26" ht="21.75" customHeight="1">
      <c r="A8" s="90"/>
      <c r="B8" s="62" t="s">
        <v>27</v>
      </c>
      <c r="C8" s="62" t="s">
        <v>28</v>
      </c>
      <c r="D8" s="90"/>
      <c r="E8" s="90"/>
      <c r="F8" s="90"/>
      <c r="G8" s="90"/>
      <c r="H8" s="62" t="s">
        <v>27</v>
      </c>
      <c r="I8" s="62" t="s">
        <v>28</v>
      </c>
      <c r="J8" s="90"/>
      <c r="K8" s="90"/>
      <c r="L8" s="90"/>
      <c r="M8" s="51"/>
    </row>
    <row r="9" spans="1:26" ht="21.75" customHeight="1">
      <c r="A9" s="107" t="s">
        <v>692</v>
      </c>
      <c r="B9" s="90"/>
      <c r="C9" s="90"/>
      <c r="D9" s="63" t="str">
        <f>A4&amp;"건"</f>
        <v>0건</v>
      </c>
      <c r="E9" s="109" t="str">
        <f>D4&amp;"개"</f>
        <v>0개</v>
      </c>
      <c r="F9" s="90"/>
      <c r="G9" s="110">
        <f>E4</f>
        <v>0</v>
      </c>
      <c r="H9" s="90"/>
      <c r="I9" s="90"/>
      <c r="J9" s="90"/>
      <c r="K9" s="90"/>
      <c r="L9" s="62"/>
      <c r="M9" s="51" t="s">
        <v>693</v>
      </c>
    </row>
    <row r="10" spans="1:26" ht="21" customHeight="1">
      <c r="A10" s="64" t="e">
        <f>주문판매내역서!#REF!</f>
        <v>#REF!</v>
      </c>
      <c r="B10" s="64" t="e">
        <f>주문판매내역서!#REF!</f>
        <v>#REF!</v>
      </c>
      <c r="C10" s="64" t="e">
        <f>주문판매내역서!#REF!</f>
        <v>#REF!</v>
      </c>
      <c r="D10" s="64" t="e">
        <f>주문판매내역서!#REF!</f>
        <v>#REF!</v>
      </c>
      <c r="E10" s="64" t="e">
        <f>주문판매내역서!#REF!</f>
        <v>#REF!</v>
      </c>
      <c r="F10" s="64" t="e">
        <f>주문판매내역서!#REF!</f>
        <v>#REF!</v>
      </c>
      <c r="G10" s="65" t="e">
        <f>주문판매내역서!#REF!</f>
        <v>#REF!</v>
      </c>
      <c r="H10" s="66" t="e">
        <f>주문판매내역서!#REF!</f>
        <v>#REF!</v>
      </c>
      <c r="I10" s="66" t="e">
        <f>주문판매내역서!#REF!</f>
        <v>#REF!</v>
      </c>
      <c r="J10" s="61" t="e">
        <f>주문판매내역서!#REF!</f>
        <v>#REF!</v>
      </c>
      <c r="K10" s="61" t="e">
        <f>주문판매내역서!#REF!</f>
        <v>#REF!</v>
      </c>
      <c r="L10" s="67" t="e">
        <f>주문판매내역서!#REF!</f>
        <v>#REF!</v>
      </c>
      <c r="M10" s="68" t="e">
        <f t="shared" ref="M10:M15" si="0">IF(B10=$E$1,$E$1)</f>
        <v>#REF!</v>
      </c>
    </row>
    <row r="11" spans="1:26" ht="21" customHeight="1">
      <c r="A11" s="64" t="e">
        <f>주문판매내역서!#REF!</f>
        <v>#REF!</v>
      </c>
      <c r="B11" s="64" t="e">
        <f>주문판매내역서!#REF!</f>
        <v>#REF!</v>
      </c>
      <c r="C11" s="64" t="e">
        <f>주문판매내역서!#REF!</f>
        <v>#REF!</v>
      </c>
      <c r="E11" s="64" t="e">
        <f>주문판매내역서!#REF!</f>
        <v>#REF!</v>
      </c>
      <c r="F11" s="64" t="e">
        <f>주문판매내역서!#REF!</f>
        <v>#REF!</v>
      </c>
      <c r="G11" s="65" t="e">
        <f>주문판매내역서!#REF!</f>
        <v>#REF!</v>
      </c>
      <c r="H11" s="66" t="e">
        <f>주문판매내역서!#REF!</f>
        <v>#REF!</v>
      </c>
      <c r="I11" s="66" t="e">
        <f>주문판매내역서!#REF!</f>
        <v>#REF!</v>
      </c>
      <c r="J11" s="61" t="e">
        <f>주문판매내역서!#REF!</f>
        <v>#REF!</v>
      </c>
      <c r="K11" s="61" t="e">
        <f>주문판매내역서!#REF!</f>
        <v>#REF!</v>
      </c>
      <c r="L11" s="67" t="e">
        <f>주문판매내역서!#REF!</f>
        <v>#REF!</v>
      </c>
      <c r="M11" s="68" t="e">
        <f t="shared" si="0"/>
        <v>#REF!</v>
      </c>
    </row>
    <row r="12" spans="1:26" ht="21" customHeight="1">
      <c r="A12" s="64" t="e">
        <f>주문판매내역서!#REF!</f>
        <v>#REF!</v>
      </c>
      <c r="B12" s="64" t="e">
        <f>주문판매내역서!#REF!</f>
        <v>#REF!</v>
      </c>
      <c r="C12" s="64" t="e">
        <f>주문판매내역서!#REF!</f>
        <v>#REF!</v>
      </c>
      <c r="D12" s="64" t="e">
        <f>주문판매내역서!#REF!</f>
        <v>#REF!</v>
      </c>
      <c r="E12" s="64" t="e">
        <f>주문판매내역서!#REF!</f>
        <v>#REF!</v>
      </c>
      <c r="F12" s="64" t="e">
        <f>주문판매내역서!#REF!</f>
        <v>#REF!</v>
      </c>
      <c r="G12" s="65" t="e">
        <f>주문판매내역서!#REF!</f>
        <v>#REF!</v>
      </c>
      <c r="H12" s="66" t="e">
        <f>주문판매내역서!#REF!</f>
        <v>#REF!</v>
      </c>
      <c r="I12" s="66" t="e">
        <f>주문판매내역서!#REF!</f>
        <v>#REF!</v>
      </c>
      <c r="J12" s="61" t="e">
        <f>주문판매내역서!#REF!</f>
        <v>#REF!</v>
      </c>
      <c r="K12" s="61" t="e">
        <f>주문판매내역서!#REF!</f>
        <v>#REF!</v>
      </c>
      <c r="L12" s="67" t="e">
        <f>주문판매내역서!#REF!</f>
        <v>#REF!</v>
      </c>
      <c r="M12" s="68" t="e">
        <f t="shared" si="0"/>
        <v>#REF!</v>
      </c>
    </row>
    <row r="13" spans="1:26" ht="21" customHeight="1">
      <c r="A13" s="64" t="e">
        <f>주문판매내역서!#REF!</f>
        <v>#REF!</v>
      </c>
      <c r="B13" s="64" t="e">
        <f>주문판매내역서!#REF!</f>
        <v>#REF!</v>
      </c>
      <c r="C13" s="64" t="e">
        <f>주문판매내역서!#REF!</f>
        <v>#REF!</v>
      </c>
      <c r="D13" s="64" t="e">
        <f>주문판매내역서!#REF!</f>
        <v>#REF!</v>
      </c>
      <c r="E13" s="64" t="e">
        <f>주문판매내역서!#REF!</f>
        <v>#REF!</v>
      </c>
      <c r="F13" s="64" t="e">
        <f>주문판매내역서!#REF!</f>
        <v>#REF!</v>
      </c>
      <c r="G13" s="65" t="e">
        <f>주문판매내역서!#REF!</f>
        <v>#REF!</v>
      </c>
      <c r="H13" s="66" t="e">
        <f>주문판매내역서!#REF!</f>
        <v>#REF!</v>
      </c>
      <c r="I13" s="66" t="e">
        <f>주문판매내역서!#REF!</f>
        <v>#REF!</v>
      </c>
      <c r="J13" s="61" t="e">
        <f>주문판매내역서!#REF!</f>
        <v>#REF!</v>
      </c>
      <c r="K13" s="61" t="e">
        <f>주문판매내역서!#REF!</f>
        <v>#REF!</v>
      </c>
      <c r="L13" s="67" t="e">
        <f>주문판매내역서!#REF!</f>
        <v>#REF!</v>
      </c>
      <c r="M13" s="68" t="e">
        <f t="shared" si="0"/>
        <v>#REF!</v>
      </c>
    </row>
    <row r="14" spans="1:26" ht="21" customHeight="1">
      <c r="A14" s="64" t="e">
        <f>주문판매내역서!#REF!</f>
        <v>#REF!</v>
      </c>
      <c r="B14" s="64" t="e">
        <f>주문판매내역서!#REF!</f>
        <v>#REF!</v>
      </c>
      <c r="C14" s="64" t="e">
        <f>주문판매내역서!#REF!</f>
        <v>#REF!</v>
      </c>
      <c r="D14" s="64" t="e">
        <f>주문판매내역서!#REF!</f>
        <v>#REF!</v>
      </c>
      <c r="E14" s="64" t="e">
        <f>주문판매내역서!#REF!</f>
        <v>#REF!</v>
      </c>
      <c r="F14" s="64" t="e">
        <f>주문판매내역서!#REF!</f>
        <v>#REF!</v>
      </c>
      <c r="G14" s="65" t="e">
        <f>주문판매내역서!#REF!</f>
        <v>#REF!</v>
      </c>
      <c r="H14" s="66" t="e">
        <f>주문판매내역서!#REF!</f>
        <v>#REF!</v>
      </c>
      <c r="I14" s="66" t="e">
        <f>주문판매내역서!#REF!</f>
        <v>#REF!</v>
      </c>
      <c r="J14" s="61" t="e">
        <f>주문판매내역서!#REF!</f>
        <v>#REF!</v>
      </c>
      <c r="K14" s="61" t="e">
        <f>주문판매내역서!#REF!</f>
        <v>#REF!</v>
      </c>
      <c r="L14" s="67" t="e">
        <f>주문판매내역서!#REF!</f>
        <v>#REF!</v>
      </c>
      <c r="M14" s="68" t="e">
        <f t="shared" si="0"/>
        <v>#REF!</v>
      </c>
    </row>
    <row r="15" spans="1:26" ht="21" customHeight="1">
      <c r="A15" s="64" t="e">
        <f t="shared" ref="A15:L15" si="1">#REF!</f>
        <v>#REF!</v>
      </c>
      <c r="B15" s="64" t="e">
        <f t="shared" si="1"/>
        <v>#REF!</v>
      </c>
      <c r="C15" s="64" t="e">
        <f t="shared" si="1"/>
        <v>#REF!</v>
      </c>
      <c r="D15" s="64" t="e">
        <f t="shared" si="1"/>
        <v>#REF!</v>
      </c>
      <c r="E15" s="64" t="e">
        <f t="shared" si="1"/>
        <v>#REF!</v>
      </c>
      <c r="F15" s="64" t="e">
        <f t="shared" si="1"/>
        <v>#REF!</v>
      </c>
      <c r="G15" s="65" t="e">
        <f t="shared" si="1"/>
        <v>#REF!</v>
      </c>
      <c r="H15" s="66" t="e">
        <f t="shared" si="1"/>
        <v>#REF!</v>
      </c>
      <c r="I15" s="66" t="e">
        <f t="shared" si="1"/>
        <v>#REF!</v>
      </c>
      <c r="J15" s="61" t="e">
        <f t="shared" si="1"/>
        <v>#REF!</v>
      </c>
      <c r="K15" s="61" t="e">
        <f t="shared" si="1"/>
        <v>#REF!</v>
      </c>
      <c r="L15" s="67" t="e">
        <f t="shared" si="1"/>
        <v>#REF!</v>
      </c>
      <c r="M15" s="51" t="e">
        <f t="shared" si="0"/>
        <v>#REF!</v>
      </c>
    </row>
    <row r="16" spans="1:26" ht="21" customHeight="1">
      <c r="A16" s="64"/>
      <c r="B16" s="64"/>
      <c r="C16" s="64"/>
      <c r="D16" s="64"/>
      <c r="E16" s="64"/>
      <c r="F16" s="64"/>
      <c r="G16" s="65"/>
      <c r="H16" s="66"/>
      <c r="I16" s="66"/>
      <c r="J16" s="61"/>
      <c r="K16" s="61"/>
      <c r="L16" s="67"/>
      <c r="M16" s="51"/>
    </row>
    <row r="17" spans="1:13" ht="21" customHeight="1">
      <c r="A17" s="64"/>
      <c r="B17" s="64"/>
      <c r="C17" s="64"/>
      <c r="D17" s="64"/>
      <c r="E17" s="64"/>
      <c r="F17" s="64"/>
      <c r="G17" s="65"/>
      <c r="H17" s="66"/>
      <c r="I17" s="66"/>
      <c r="J17" s="61"/>
      <c r="K17" s="61"/>
      <c r="L17" s="67"/>
      <c r="M17" s="51"/>
    </row>
    <row r="18" spans="1:13" ht="21" customHeight="1">
      <c r="A18" s="64"/>
      <c r="B18" s="64"/>
      <c r="C18" s="64"/>
      <c r="D18" s="64"/>
      <c r="E18" s="64"/>
      <c r="F18" s="64"/>
      <c r="G18" s="65"/>
      <c r="H18" s="66"/>
      <c r="I18" s="66"/>
      <c r="J18" s="61"/>
      <c r="K18" s="61"/>
      <c r="L18" s="67"/>
      <c r="M18" s="51"/>
    </row>
    <row r="19" spans="1:13" ht="21" customHeight="1">
      <c r="A19" s="64"/>
      <c r="B19" s="64"/>
      <c r="C19" s="64"/>
      <c r="D19" s="64"/>
      <c r="E19" s="64"/>
      <c r="F19" s="64"/>
      <c r="G19" s="65"/>
      <c r="H19" s="66"/>
      <c r="I19" s="66"/>
      <c r="J19" s="61"/>
      <c r="K19" s="61"/>
      <c r="L19" s="67"/>
      <c r="M19" s="51"/>
    </row>
    <row r="20" spans="1:13" ht="21" customHeight="1">
      <c r="A20" s="64"/>
      <c r="B20" s="64"/>
      <c r="C20" s="64"/>
      <c r="D20" s="64"/>
      <c r="E20" s="64"/>
      <c r="F20" s="64"/>
      <c r="G20" s="65"/>
      <c r="H20" s="66"/>
      <c r="I20" s="66"/>
      <c r="J20" s="61"/>
      <c r="K20" s="61"/>
      <c r="L20" s="67"/>
      <c r="M20" s="51"/>
    </row>
    <row r="21" spans="1:13" ht="21" customHeight="1">
      <c r="A21" s="64"/>
      <c r="B21" s="64"/>
      <c r="C21" s="64"/>
      <c r="D21" s="64"/>
      <c r="E21" s="64"/>
      <c r="F21" s="64"/>
      <c r="G21" s="65"/>
      <c r="H21" s="66"/>
      <c r="I21" s="66"/>
      <c r="J21" s="61"/>
      <c r="K21" s="61"/>
      <c r="L21" s="67"/>
      <c r="M21" s="51"/>
    </row>
    <row r="22" spans="1:13" ht="21" customHeight="1">
      <c r="A22" s="64"/>
      <c r="B22" s="64"/>
      <c r="C22" s="64"/>
      <c r="D22" s="64"/>
      <c r="E22" s="64"/>
      <c r="F22" s="64"/>
      <c r="G22" s="65"/>
      <c r="H22" s="66"/>
      <c r="I22" s="66"/>
      <c r="J22" s="61"/>
      <c r="K22" s="61"/>
      <c r="L22" s="67"/>
      <c r="M22" s="51"/>
    </row>
    <row r="23" spans="1:13" ht="21" customHeight="1">
      <c r="A23" s="64"/>
      <c r="B23" s="64"/>
      <c r="C23" s="64"/>
      <c r="D23" s="64"/>
      <c r="E23" s="64"/>
      <c r="F23" s="64"/>
      <c r="G23" s="65"/>
      <c r="H23" s="66"/>
      <c r="I23" s="66"/>
      <c r="J23" s="61"/>
      <c r="K23" s="61"/>
      <c r="L23" s="67"/>
      <c r="M23" s="51"/>
    </row>
    <row r="24" spans="1:13" ht="21" customHeight="1">
      <c r="A24" s="64"/>
      <c r="B24" s="64"/>
      <c r="C24" s="64"/>
      <c r="D24" s="64"/>
      <c r="E24" s="64"/>
      <c r="F24" s="64"/>
      <c r="G24" s="65"/>
      <c r="H24" s="66"/>
      <c r="I24" s="66"/>
      <c r="J24" s="61"/>
      <c r="K24" s="61"/>
      <c r="L24" s="67"/>
      <c r="M24" s="51"/>
    </row>
    <row r="25" spans="1:13" ht="21" customHeight="1">
      <c r="A25" s="64"/>
      <c r="B25" s="64"/>
      <c r="C25" s="64"/>
      <c r="D25" s="64"/>
      <c r="E25" s="64"/>
      <c r="F25" s="64"/>
      <c r="G25" s="65"/>
      <c r="H25" s="66"/>
      <c r="I25" s="66"/>
      <c r="J25" s="61"/>
      <c r="K25" s="61"/>
      <c r="L25" s="67"/>
      <c r="M25" s="51"/>
    </row>
    <row r="26" spans="1:13" ht="21" customHeight="1">
      <c r="A26" s="64"/>
      <c r="B26" s="64"/>
      <c r="C26" s="64"/>
      <c r="D26" s="64"/>
      <c r="E26" s="64"/>
      <c r="F26" s="64"/>
      <c r="G26" s="65"/>
      <c r="H26" s="66"/>
      <c r="I26" s="66"/>
      <c r="J26" s="61"/>
      <c r="K26" s="61"/>
      <c r="L26" s="67"/>
      <c r="M26" s="51"/>
    </row>
    <row r="27" spans="1:13" ht="21" customHeight="1">
      <c r="A27" s="64"/>
      <c r="B27" s="64"/>
      <c r="C27" s="64"/>
      <c r="D27" s="64"/>
      <c r="E27" s="64"/>
      <c r="F27" s="64"/>
      <c r="G27" s="65"/>
      <c r="H27" s="66"/>
      <c r="I27" s="66"/>
      <c r="J27" s="61"/>
      <c r="K27" s="61"/>
      <c r="L27" s="67"/>
      <c r="M27" s="51"/>
    </row>
    <row r="28" spans="1:13" ht="21" customHeight="1">
      <c r="A28" s="64"/>
      <c r="B28" s="64"/>
      <c r="C28" s="64"/>
      <c r="D28" s="64"/>
      <c r="E28" s="64"/>
      <c r="F28" s="64"/>
      <c r="G28" s="65"/>
      <c r="H28" s="66"/>
      <c r="I28" s="66"/>
      <c r="J28" s="61"/>
      <c r="K28" s="61"/>
      <c r="L28" s="67"/>
      <c r="M28" s="51"/>
    </row>
    <row r="29" spans="1:13" ht="21" customHeight="1">
      <c r="A29" s="64"/>
      <c r="B29" s="64"/>
      <c r="C29" s="64"/>
      <c r="D29" s="64"/>
      <c r="E29" s="64"/>
      <c r="F29" s="64"/>
      <c r="G29" s="65"/>
      <c r="H29" s="66"/>
      <c r="I29" s="66"/>
      <c r="J29" s="61"/>
      <c r="K29" s="61"/>
      <c r="L29" s="67"/>
      <c r="M29" s="51"/>
    </row>
    <row r="30" spans="1:13" ht="21" customHeight="1">
      <c r="A30" s="64"/>
      <c r="B30" s="64"/>
      <c r="C30" s="64"/>
      <c r="D30" s="64"/>
      <c r="E30" s="64"/>
      <c r="F30" s="64"/>
      <c r="G30" s="65"/>
      <c r="H30" s="66"/>
      <c r="I30" s="66"/>
      <c r="J30" s="61"/>
      <c r="K30" s="61"/>
      <c r="L30" s="67"/>
      <c r="M30" s="51"/>
    </row>
    <row r="31" spans="1:13" ht="21" customHeight="1">
      <c r="A31" s="64"/>
      <c r="B31" s="64"/>
      <c r="C31" s="64"/>
      <c r="D31" s="64"/>
      <c r="E31" s="64"/>
      <c r="F31" s="64"/>
      <c r="G31" s="65"/>
      <c r="H31" s="66"/>
      <c r="I31" s="66"/>
      <c r="J31" s="61"/>
      <c r="K31" s="61"/>
      <c r="L31" s="67"/>
      <c r="M31" s="51"/>
    </row>
    <row r="32" spans="1:13" ht="21" customHeight="1">
      <c r="A32" s="64"/>
      <c r="B32" s="64"/>
      <c r="C32" s="64"/>
      <c r="D32" s="64"/>
      <c r="E32" s="64"/>
      <c r="F32" s="64"/>
      <c r="G32" s="65"/>
      <c r="H32" s="66"/>
      <c r="I32" s="66"/>
      <c r="J32" s="61"/>
      <c r="K32" s="61"/>
      <c r="L32" s="67"/>
      <c r="M32" s="51"/>
    </row>
    <row r="33" spans="1:13" ht="21" customHeight="1">
      <c r="A33" s="64"/>
      <c r="B33" s="64"/>
      <c r="C33" s="64"/>
      <c r="D33" s="64"/>
      <c r="E33" s="64"/>
      <c r="F33" s="64"/>
      <c r="G33" s="65"/>
      <c r="H33" s="66"/>
      <c r="I33" s="66"/>
      <c r="J33" s="61"/>
      <c r="K33" s="61"/>
      <c r="L33" s="67"/>
      <c r="M33" s="51"/>
    </row>
    <row r="34" spans="1:13" ht="21" customHeight="1">
      <c r="A34" s="64"/>
      <c r="B34" s="64"/>
      <c r="C34" s="64"/>
      <c r="D34" s="64"/>
      <c r="E34" s="64"/>
      <c r="F34" s="64"/>
      <c r="G34" s="65"/>
      <c r="H34" s="66"/>
      <c r="I34" s="66"/>
      <c r="J34" s="61"/>
      <c r="K34" s="61"/>
      <c r="L34" s="67"/>
      <c r="M34" s="51"/>
    </row>
    <row r="35" spans="1:13" ht="21" customHeight="1">
      <c r="A35" s="64"/>
      <c r="B35" s="64"/>
      <c r="C35" s="64"/>
      <c r="D35" s="64"/>
      <c r="E35" s="64"/>
      <c r="F35" s="64"/>
      <c r="G35" s="65"/>
      <c r="H35" s="66"/>
      <c r="I35" s="66"/>
      <c r="J35" s="61"/>
      <c r="K35" s="61"/>
      <c r="L35" s="67"/>
      <c r="M35" s="51"/>
    </row>
    <row r="36" spans="1:13" ht="21" customHeight="1">
      <c r="A36" s="64"/>
      <c r="B36" s="64"/>
      <c r="C36" s="64"/>
      <c r="D36" s="64"/>
      <c r="E36" s="64"/>
      <c r="F36" s="64"/>
      <c r="G36" s="65"/>
      <c r="H36" s="66"/>
      <c r="I36" s="66"/>
      <c r="J36" s="61"/>
      <c r="K36" s="61"/>
      <c r="L36" s="67"/>
      <c r="M36" s="51"/>
    </row>
    <row r="37" spans="1:13" ht="21" customHeight="1">
      <c r="A37" s="64"/>
      <c r="B37" s="64"/>
      <c r="C37" s="64"/>
      <c r="D37" s="64"/>
      <c r="E37" s="64"/>
      <c r="F37" s="64"/>
      <c r="G37" s="65"/>
      <c r="H37" s="66"/>
      <c r="I37" s="66"/>
      <c r="J37" s="61"/>
      <c r="K37" s="61"/>
      <c r="L37" s="67"/>
      <c r="M37" s="51"/>
    </row>
    <row r="38" spans="1:13" ht="21" customHeight="1">
      <c r="A38" s="64"/>
      <c r="B38" s="64"/>
      <c r="C38" s="64"/>
      <c r="D38" s="64"/>
      <c r="E38" s="64"/>
      <c r="F38" s="64"/>
      <c r="G38" s="65"/>
      <c r="H38" s="66"/>
      <c r="I38" s="66"/>
      <c r="J38" s="61"/>
      <c r="K38" s="61"/>
      <c r="L38" s="67"/>
      <c r="M38" s="51"/>
    </row>
    <row r="39" spans="1:13" ht="21" customHeight="1">
      <c r="A39" s="64"/>
      <c r="B39" s="64"/>
      <c r="C39" s="64"/>
      <c r="D39" s="64"/>
      <c r="E39" s="64"/>
      <c r="F39" s="64"/>
      <c r="G39" s="65"/>
      <c r="H39" s="66"/>
      <c r="I39" s="66"/>
      <c r="J39" s="61"/>
      <c r="K39" s="61"/>
      <c r="L39" s="67"/>
      <c r="M39" s="51"/>
    </row>
    <row r="40" spans="1:13" ht="21" customHeight="1">
      <c r="A40" s="64"/>
      <c r="B40" s="64"/>
      <c r="C40" s="64"/>
      <c r="D40" s="64"/>
      <c r="E40" s="64"/>
      <c r="F40" s="64"/>
      <c r="G40" s="65"/>
      <c r="H40" s="66"/>
      <c r="I40" s="66"/>
      <c r="J40" s="61"/>
      <c r="K40" s="61"/>
      <c r="L40" s="67"/>
      <c r="M40" s="51"/>
    </row>
    <row r="41" spans="1:13" ht="21" customHeight="1">
      <c r="A41" s="64"/>
      <c r="B41" s="64"/>
      <c r="C41" s="64"/>
      <c r="D41" s="64"/>
      <c r="E41" s="64"/>
      <c r="F41" s="64"/>
      <c r="G41" s="65"/>
      <c r="H41" s="66"/>
      <c r="I41" s="66"/>
      <c r="J41" s="61"/>
      <c r="K41" s="61"/>
      <c r="L41" s="67"/>
      <c r="M41" s="51"/>
    </row>
    <row r="42" spans="1:13" ht="21" customHeight="1">
      <c r="A42" s="64"/>
      <c r="B42" s="64"/>
      <c r="C42" s="64"/>
      <c r="D42" s="64"/>
      <c r="E42" s="64"/>
      <c r="F42" s="64"/>
      <c r="G42" s="65"/>
      <c r="H42" s="66"/>
      <c r="I42" s="66"/>
      <c r="J42" s="61"/>
      <c r="K42" s="61"/>
      <c r="L42" s="67"/>
      <c r="M42" s="51"/>
    </row>
    <row r="43" spans="1:13" ht="21" customHeight="1">
      <c r="A43" s="64"/>
      <c r="B43" s="64"/>
      <c r="C43" s="64"/>
      <c r="D43" s="64"/>
      <c r="E43" s="64"/>
      <c r="F43" s="64"/>
      <c r="G43" s="65"/>
      <c r="H43" s="66"/>
      <c r="I43" s="66"/>
      <c r="J43" s="61"/>
      <c r="K43" s="61"/>
      <c r="L43" s="67"/>
      <c r="M43" s="51"/>
    </row>
    <row r="44" spans="1:13" ht="21" customHeight="1">
      <c r="A44" s="64"/>
      <c r="B44" s="64"/>
      <c r="C44" s="64"/>
      <c r="D44" s="64"/>
      <c r="E44" s="64"/>
      <c r="F44" s="64"/>
      <c r="G44" s="65"/>
      <c r="H44" s="66"/>
      <c r="I44" s="66"/>
      <c r="J44" s="61"/>
      <c r="K44" s="61"/>
      <c r="L44" s="67"/>
      <c r="M44" s="51"/>
    </row>
    <row r="45" spans="1:13" ht="21" customHeight="1">
      <c r="A45" s="64"/>
      <c r="B45" s="64"/>
      <c r="C45" s="64"/>
      <c r="D45" s="64"/>
      <c r="E45" s="64"/>
      <c r="F45" s="64"/>
      <c r="G45" s="65"/>
      <c r="H45" s="66"/>
      <c r="I45" s="66"/>
      <c r="J45" s="61"/>
      <c r="K45" s="61"/>
      <c r="L45" s="67"/>
      <c r="M45" s="51"/>
    </row>
    <row r="46" spans="1:13" ht="21" customHeight="1">
      <c r="A46" s="64"/>
      <c r="B46" s="64"/>
      <c r="C46" s="64"/>
      <c r="D46" s="64"/>
      <c r="E46" s="64"/>
      <c r="F46" s="64"/>
      <c r="G46" s="65"/>
      <c r="H46" s="66"/>
      <c r="I46" s="66"/>
      <c r="J46" s="61"/>
      <c r="K46" s="61"/>
      <c r="L46" s="67"/>
      <c r="M46" s="51"/>
    </row>
    <row r="47" spans="1:13" ht="21" customHeight="1">
      <c r="A47" s="64"/>
      <c r="B47" s="64"/>
      <c r="C47" s="64"/>
      <c r="D47" s="64"/>
      <c r="E47" s="64"/>
      <c r="F47" s="64"/>
      <c r="G47" s="65"/>
      <c r="H47" s="66"/>
      <c r="I47" s="66"/>
      <c r="J47" s="61"/>
      <c r="K47" s="61"/>
      <c r="L47" s="67"/>
      <c r="M47" s="51"/>
    </row>
    <row r="48" spans="1:13" ht="21" customHeight="1">
      <c r="A48" s="64"/>
      <c r="B48" s="64"/>
      <c r="C48" s="64"/>
      <c r="D48" s="64"/>
      <c r="E48" s="64"/>
      <c r="F48" s="64"/>
      <c r="G48" s="65"/>
      <c r="H48" s="66"/>
      <c r="I48" s="66"/>
      <c r="J48" s="61"/>
      <c r="K48" s="61"/>
      <c r="L48" s="67"/>
      <c r="M48" s="51"/>
    </row>
    <row r="49" spans="1:13" ht="21" customHeight="1">
      <c r="A49" s="64"/>
      <c r="B49" s="64"/>
      <c r="C49" s="64"/>
      <c r="D49" s="64"/>
      <c r="E49" s="64"/>
      <c r="F49" s="64"/>
      <c r="G49" s="65"/>
      <c r="H49" s="66"/>
      <c r="I49" s="66"/>
      <c r="J49" s="61"/>
      <c r="K49" s="61"/>
      <c r="L49" s="67"/>
      <c r="M49" s="51"/>
    </row>
    <row r="50" spans="1:13" ht="21" customHeight="1">
      <c r="A50" s="64"/>
      <c r="B50" s="64"/>
      <c r="C50" s="64"/>
      <c r="D50" s="64"/>
      <c r="E50" s="64"/>
      <c r="F50" s="64"/>
      <c r="G50" s="65"/>
      <c r="H50" s="66"/>
      <c r="I50" s="66"/>
      <c r="J50" s="61"/>
      <c r="K50" s="61"/>
      <c r="L50" s="67"/>
      <c r="M50" s="51"/>
    </row>
    <row r="51" spans="1:13" ht="21" customHeight="1">
      <c r="A51" s="64"/>
      <c r="B51" s="64"/>
      <c r="C51" s="64"/>
      <c r="D51" s="64"/>
      <c r="E51" s="64"/>
      <c r="F51" s="64"/>
      <c r="G51" s="65"/>
      <c r="H51" s="66"/>
      <c r="I51" s="66"/>
      <c r="J51" s="61"/>
      <c r="K51" s="61"/>
      <c r="L51" s="67"/>
      <c r="M51" s="51"/>
    </row>
    <row r="52" spans="1:13" ht="21" customHeight="1">
      <c r="A52" s="64"/>
      <c r="B52" s="64"/>
      <c r="C52" s="64"/>
      <c r="D52" s="64"/>
      <c r="E52" s="64"/>
      <c r="F52" s="64"/>
      <c r="G52" s="65"/>
      <c r="H52" s="66"/>
      <c r="I52" s="66"/>
      <c r="J52" s="61"/>
      <c r="K52" s="61"/>
      <c r="L52" s="67"/>
      <c r="M52" s="51"/>
    </row>
    <row r="53" spans="1:13" ht="21" customHeight="1">
      <c r="A53" s="64"/>
      <c r="B53" s="64"/>
      <c r="C53" s="64"/>
      <c r="D53" s="64"/>
      <c r="E53" s="64"/>
      <c r="F53" s="64"/>
      <c r="G53" s="65"/>
      <c r="H53" s="66"/>
      <c r="I53" s="66"/>
      <c r="J53" s="61"/>
      <c r="K53" s="61"/>
      <c r="L53" s="67"/>
      <c r="M53" s="51"/>
    </row>
    <row r="54" spans="1:13" ht="21" customHeight="1">
      <c r="A54" s="64"/>
      <c r="B54" s="64"/>
      <c r="C54" s="64"/>
      <c r="D54" s="64"/>
      <c r="E54" s="64"/>
      <c r="F54" s="64"/>
      <c r="G54" s="65"/>
      <c r="H54" s="66"/>
      <c r="I54" s="66"/>
      <c r="J54" s="61"/>
      <c r="K54" s="61"/>
      <c r="L54" s="67"/>
      <c r="M54" s="51"/>
    </row>
    <row r="55" spans="1:13" ht="21" customHeight="1">
      <c r="A55" s="64"/>
      <c r="B55" s="64"/>
      <c r="C55" s="64"/>
      <c r="D55" s="64"/>
      <c r="E55" s="64"/>
      <c r="F55" s="64"/>
      <c r="G55" s="65"/>
      <c r="H55" s="66"/>
      <c r="I55" s="66"/>
      <c r="J55" s="61"/>
      <c r="K55" s="61"/>
      <c r="L55" s="67"/>
      <c r="M55" s="51"/>
    </row>
    <row r="56" spans="1:13" ht="21" customHeight="1">
      <c r="A56" s="64"/>
      <c r="B56" s="64"/>
      <c r="C56" s="64"/>
      <c r="D56" s="64"/>
      <c r="E56" s="64"/>
      <c r="F56" s="64"/>
      <c r="G56" s="65"/>
      <c r="H56" s="66"/>
      <c r="I56" s="66"/>
      <c r="J56" s="61"/>
      <c r="K56" s="61"/>
      <c r="L56" s="67"/>
      <c r="M56" s="51"/>
    </row>
    <row r="57" spans="1:13" ht="21" customHeight="1">
      <c r="A57" s="64"/>
      <c r="B57" s="64"/>
      <c r="C57" s="64"/>
      <c r="D57" s="64"/>
      <c r="E57" s="64"/>
      <c r="F57" s="64"/>
      <c r="G57" s="65"/>
      <c r="H57" s="66"/>
      <c r="I57" s="66"/>
      <c r="J57" s="61"/>
      <c r="K57" s="61"/>
      <c r="L57" s="67"/>
      <c r="M57" s="51"/>
    </row>
    <row r="58" spans="1:13" ht="21" customHeight="1">
      <c r="A58" s="64"/>
      <c r="B58" s="64"/>
      <c r="C58" s="64"/>
      <c r="D58" s="64"/>
      <c r="E58" s="64"/>
      <c r="F58" s="64"/>
      <c r="G58" s="65"/>
      <c r="H58" s="66"/>
      <c r="I58" s="66"/>
      <c r="J58" s="61"/>
      <c r="K58" s="61"/>
      <c r="L58" s="67"/>
      <c r="M58" s="51"/>
    </row>
    <row r="59" spans="1:13" ht="21" customHeight="1">
      <c r="A59" s="64"/>
      <c r="B59" s="64"/>
      <c r="C59" s="64"/>
      <c r="D59" s="64"/>
      <c r="E59" s="64"/>
      <c r="F59" s="64"/>
      <c r="G59" s="65"/>
      <c r="H59" s="66"/>
      <c r="I59" s="66"/>
      <c r="J59" s="61"/>
      <c r="K59" s="61"/>
      <c r="L59" s="67"/>
      <c r="M59" s="51"/>
    </row>
    <row r="60" spans="1:13" ht="21" customHeight="1">
      <c r="A60" s="64"/>
      <c r="B60" s="64"/>
      <c r="C60" s="64"/>
      <c r="D60" s="64"/>
      <c r="E60" s="64"/>
      <c r="F60" s="64"/>
      <c r="G60" s="65"/>
      <c r="H60" s="66"/>
      <c r="I60" s="66"/>
      <c r="J60" s="61"/>
      <c r="K60" s="61"/>
      <c r="L60" s="67"/>
      <c r="M60" s="51"/>
    </row>
    <row r="61" spans="1:13" ht="21" customHeight="1">
      <c r="A61" s="64"/>
      <c r="B61" s="64"/>
      <c r="C61" s="64"/>
      <c r="D61" s="64"/>
      <c r="E61" s="64"/>
      <c r="F61" s="64"/>
      <c r="G61" s="65"/>
      <c r="H61" s="66"/>
      <c r="I61" s="66"/>
      <c r="J61" s="61"/>
      <c r="K61" s="61"/>
      <c r="L61" s="67"/>
      <c r="M61" s="51"/>
    </row>
    <row r="62" spans="1:13" ht="21" customHeight="1">
      <c r="A62" s="64"/>
      <c r="B62" s="64"/>
      <c r="C62" s="64"/>
      <c r="D62" s="64"/>
      <c r="E62" s="64"/>
      <c r="F62" s="64"/>
      <c r="G62" s="65"/>
      <c r="H62" s="66"/>
      <c r="I62" s="66"/>
      <c r="J62" s="61"/>
      <c r="K62" s="61"/>
      <c r="L62" s="67"/>
      <c r="M62" s="51"/>
    </row>
    <row r="63" spans="1:13" ht="21" customHeight="1">
      <c r="A63" s="64"/>
      <c r="B63" s="64"/>
      <c r="C63" s="64"/>
      <c r="D63" s="64"/>
      <c r="E63" s="64"/>
      <c r="F63" s="64"/>
      <c r="G63" s="65"/>
      <c r="H63" s="66"/>
      <c r="I63" s="66"/>
      <c r="J63" s="61"/>
      <c r="K63" s="61"/>
      <c r="L63" s="67"/>
      <c r="M63" s="51"/>
    </row>
    <row r="64" spans="1:13" ht="21" customHeight="1">
      <c r="A64" s="64"/>
      <c r="B64" s="64"/>
      <c r="C64" s="64"/>
      <c r="D64" s="64"/>
      <c r="E64" s="64"/>
      <c r="F64" s="64"/>
      <c r="G64" s="65"/>
      <c r="H64" s="66"/>
      <c r="I64" s="66"/>
      <c r="J64" s="61"/>
      <c r="K64" s="61"/>
      <c r="L64" s="67"/>
      <c r="M64" s="51"/>
    </row>
    <row r="65" spans="1:13" ht="21" customHeight="1">
      <c r="A65" s="64"/>
      <c r="B65" s="64"/>
      <c r="C65" s="64"/>
      <c r="D65" s="64"/>
      <c r="E65" s="64"/>
      <c r="F65" s="64"/>
      <c r="G65" s="65"/>
      <c r="H65" s="66"/>
      <c r="I65" s="66"/>
      <c r="J65" s="61"/>
      <c r="K65" s="61"/>
      <c r="L65" s="67"/>
      <c r="M65" s="51"/>
    </row>
    <row r="66" spans="1:13" ht="21" customHeight="1">
      <c r="A66" s="64"/>
      <c r="B66" s="64"/>
      <c r="C66" s="64"/>
      <c r="D66" s="64"/>
      <c r="E66" s="64"/>
      <c r="F66" s="64"/>
      <c r="G66" s="65"/>
      <c r="H66" s="66"/>
      <c r="I66" s="66"/>
      <c r="J66" s="61"/>
      <c r="K66" s="61"/>
      <c r="L66" s="67"/>
      <c r="M66" s="51"/>
    </row>
    <row r="67" spans="1:13" ht="21" customHeight="1">
      <c r="A67" s="64"/>
      <c r="B67" s="64"/>
      <c r="C67" s="64"/>
      <c r="D67" s="64"/>
      <c r="E67" s="64"/>
      <c r="F67" s="64"/>
      <c r="G67" s="65"/>
      <c r="H67" s="66"/>
      <c r="I67" s="66"/>
      <c r="J67" s="61"/>
      <c r="K67" s="61"/>
      <c r="L67" s="67"/>
      <c r="M67" s="51"/>
    </row>
    <row r="68" spans="1:13" ht="21" customHeight="1">
      <c r="A68" s="64"/>
      <c r="B68" s="64"/>
      <c r="C68" s="64"/>
      <c r="D68" s="64"/>
      <c r="E68" s="64"/>
      <c r="F68" s="64"/>
      <c r="G68" s="65"/>
      <c r="H68" s="66"/>
      <c r="I68" s="66"/>
      <c r="J68" s="61"/>
      <c r="K68" s="61"/>
      <c r="L68" s="67"/>
      <c r="M68" s="51"/>
    </row>
    <row r="69" spans="1:13" ht="21" customHeight="1">
      <c r="A69" s="64"/>
      <c r="B69" s="64"/>
      <c r="C69" s="64"/>
      <c r="D69" s="64"/>
      <c r="E69" s="64"/>
      <c r="F69" s="64"/>
      <c r="G69" s="65"/>
      <c r="H69" s="66"/>
      <c r="I69" s="66"/>
      <c r="J69" s="61"/>
      <c r="K69" s="61"/>
      <c r="L69" s="67"/>
      <c r="M69" s="51"/>
    </row>
    <row r="70" spans="1:13" ht="21" customHeight="1">
      <c r="A70" s="64"/>
      <c r="B70" s="64"/>
      <c r="C70" s="64"/>
      <c r="D70" s="64"/>
      <c r="E70" s="64"/>
      <c r="F70" s="64"/>
      <c r="G70" s="65"/>
      <c r="H70" s="66"/>
      <c r="I70" s="66"/>
      <c r="J70" s="61"/>
      <c r="K70" s="61"/>
      <c r="L70" s="67"/>
      <c r="M70" s="51"/>
    </row>
    <row r="71" spans="1:13" ht="21" customHeight="1">
      <c r="A71" s="64"/>
      <c r="B71" s="64"/>
      <c r="C71" s="64"/>
      <c r="D71" s="64"/>
      <c r="E71" s="64"/>
      <c r="F71" s="64"/>
      <c r="G71" s="65"/>
      <c r="H71" s="66"/>
      <c r="I71" s="66"/>
      <c r="J71" s="61"/>
      <c r="K71" s="61"/>
      <c r="L71" s="67"/>
      <c r="M71" s="51"/>
    </row>
    <row r="72" spans="1:13" ht="21" customHeight="1">
      <c r="A72" s="64"/>
      <c r="B72" s="64"/>
      <c r="C72" s="64"/>
      <c r="D72" s="64"/>
      <c r="E72" s="64"/>
      <c r="F72" s="64"/>
      <c r="G72" s="65"/>
      <c r="H72" s="66"/>
      <c r="I72" s="66"/>
      <c r="J72" s="61"/>
      <c r="K72" s="61"/>
      <c r="L72" s="67"/>
      <c r="M72" s="51"/>
    </row>
    <row r="73" spans="1:13" ht="21" customHeight="1">
      <c r="A73" s="64"/>
      <c r="B73" s="64"/>
      <c r="C73" s="64"/>
      <c r="D73" s="64"/>
      <c r="E73" s="64"/>
      <c r="F73" s="64"/>
      <c r="G73" s="65"/>
      <c r="H73" s="66"/>
      <c r="I73" s="66"/>
      <c r="J73" s="61"/>
      <c r="K73" s="61"/>
      <c r="L73" s="67"/>
      <c r="M73" s="51"/>
    </row>
    <row r="74" spans="1:13" ht="21" customHeight="1">
      <c r="A74" s="64"/>
      <c r="B74" s="64"/>
      <c r="C74" s="64"/>
      <c r="D74" s="64"/>
      <c r="E74" s="64"/>
      <c r="F74" s="64"/>
      <c r="G74" s="65"/>
      <c r="H74" s="66"/>
      <c r="I74" s="66"/>
      <c r="J74" s="61"/>
      <c r="K74" s="61"/>
      <c r="L74" s="67"/>
      <c r="M74" s="51"/>
    </row>
    <row r="75" spans="1:13" ht="21" customHeight="1">
      <c r="A75" s="64"/>
      <c r="B75" s="64"/>
      <c r="C75" s="64"/>
      <c r="D75" s="64"/>
      <c r="E75" s="64"/>
      <c r="F75" s="64"/>
      <c r="G75" s="65"/>
      <c r="H75" s="66"/>
      <c r="I75" s="66"/>
      <c r="J75" s="61"/>
      <c r="K75" s="61"/>
      <c r="L75" s="67"/>
      <c r="M75" s="51"/>
    </row>
    <row r="76" spans="1:13" ht="21" customHeight="1">
      <c r="A76" s="64"/>
      <c r="B76" s="64"/>
      <c r="C76" s="64"/>
      <c r="D76" s="64"/>
      <c r="E76" s="64"/>
      <c r="F76" s="64"/>
      <c r="G76" s="65"/>
      <c r="H76" s="66"/>
      <c r="I76" s="66"/>
      <c r="J76" s="61"/>
      <c r="K76" s="61"/>
      <c r="L76" s="67"/>
      <c r="M76" s="51"/>
    </row>
    <row r="77" spans="1:13" ht="21" customHeight="1">
      <c r="A77" s="64"/>
      <c r="B77" s="64"/>
      <c r="C77" s="64"/>
      <c r="D77" s="64"/>
      <c r="E77" s="64"/>
      <c r="F77" s="64"/>
      <c r="G77" s="65"/>
      <c r="H77" s="66"/>
      <c r="I77" s="66"/>
      <c r="J77" s="61"/>
      <c r="K77" s="61"/>
      <c r="L77" s="67"/>
      <c r="M77" s="51"/>
    </row>
    <row r="78" spans="1:13" ht="21" customHeight="1">
      <c r="A78" s="64"/>
      <c r="B78" s="64"/>
      <c r="C78" s="64"/>
      <c r="D78" s="64"/>
      <c r="E78" s="64"/>
      <c r="F78" s="64"/>
      <c r="G78" s="65"/>
      <c r="H78" s="66"/>
      <c r="I78" s="66"/>
      <c r="J78" s="61"/>
      <c r="K78" s="61"/>
      <c r="L78" s="67"/>
      <c r="M78" s="51"/>
    </row>
    <row r="79" spans="1:13" ht="21" customHeight="1">
      <c r="A79" s="64"/>
      <c r="B79" s="64"/>
      <c r="C79" s="64"/>
      <c r="D79" s="64"/>
      <c r="E79" s="64"/>
      <c r="F79" s="64"/>
      <c r="G79" s="65"/>
      <c r="H79" s="66"/>
      <c r="I79" s="66"/>
      <c r="J79" s="61"/>
      <c r="K79" s="61"/>
      <c r="L79" s="67"/>
      <c r="M79" s="51"/>
    </row>
    <row r="80" spans="1:13" ht="21" customHeight="1">
      <c r="A80" s="64"/>
      <c r="B80" s="64"/>
      <c r="C80" s="64"/>
      <c r="D80" s="64"/>
      <c r="E80" s="64"/>
      <c r="F80" s="64"/>
      <c r="G80" s="65"/>
      <c r="H80" s="66"/>
      <c r="I80" s="66"/>
      <c r="J80" s="61"/>
      <c r="K80" s="61"/>
      <c r="L80" s="67"/>
      <c r="M80" s="51"/>
    </row>
    <row r="81" spans="1:13" ht="21" customHeight="1">
      <c r="A81" s="64"/>
      <c r="B81" s="64"/>
      <c r="C81" s="64"/>
      <c r="D81" s="64"/>
      <c r="E81" s="64"/>
      <c r="F81" s="64"/>
      <c r="G81" s="65"/>
      <c r="H81" s="66"/>
      <c r="I81" s="66"/>
      <c r="J81" s="61"/>
      <c r="K81" s="61"/>
      <c r="L81" s="67"/>
      <c r="M81" s="51"/>
    </row>
    <row r="82" spans="1:13" ht="21" customHeight="1">
      <c r="A82" s="64"/>
      <c r="B82" s="64"/>
      <c r="C82" s="64"/>
      <c r="D82" s="64"/>
      <c r="E82" s="64"/>
      <c r="F82" s="64"/>
      <c r="G82" s="65"/>
      <c r="H82" s="66"/>
      <c r="I82" s="66"/>
      <c r="J82" s="61"/>
      <c r="K82" s="61"/>
      <c r="L82" s="67"/>
      <c r="M82" s="51"/>
    </row>
    <row r="83" spans="1:13" ht="21" customHeight="1">
      <c r="A83" s="64"/>
      <c r="B83" s="64"/>
      <c r="C83" s="64"/>
      <c r="D83" s="64"/>
      <c r="E83" s="64"/>
      <c r="F83" s="64"/>
      <c r="G83" s="65"/>
      <c r="H83" s="66"/>
      <c r="I83" s="66"/>
      <c r="J83" s="61"/>
      <c r="K83" s="61"/>
      <c r="L83" s="67"/>
      <c r="M83" s="51"/>
    </row>
    <row r="84" spans="1:13" ht="21" customHeight="1">
      <c r="A84" s="64"/>
      <c r="B84" s="64"/>
      <c r="C84" s="64"/>
      <c r="D84" s="64"/>
      <c r="E84" s="64"/>
      <c r="F84" s="64"/>
      <c r="G84" s="65"/>
      <c r="H84" s="66"/>
      <c r="I84" s="66"/>
      <c r="J84" s="61"/>
      <c r="K84" s="61"/>
      <c r="L84" s="67"/>
      <c r="M84" s="51"/>
    </row>
    <row r="85" spans="1:13" ht="21" customHeight="1">
      <c r="A85" s="64"/>
      <c r="B85" s="64"/>
      <c r="C85" s="64"/>
      <c r="D85" s="64"/>
      <c r="E85" s="64"/>
      <c r="F85" s="64"/>
      <c r="G85" s="65"/>
      <c r="H85" s="66"/>
      <c r="I85" s="66"/>
      <c r="J85" s="61"/>
      <c r="K85" s="61"/>
      <c r="L85" s="67"/>
      <c r="M85" s="51"/>
    </row>
    <row r="86" spans="1:13" ht="21" customHeight="1">
      <c r="A86" s="64"/>
      <c r="B86" s="64"/>
      <c r="C86" s="64"/>
      <c r="D86" s="64"/>
      <c r="E86" s="64"/>
      <c r="F86" s="64"/>
      <c r="G86" s="65"/>
      <c r="H86" s="66"/>
      <c r="I86" s="66"/>
      <c r="J86" s="61"/>
      <c r="K86" s="61"/>
      <c r="L86" s="67"/>
      <c r="M86" s="51"/>
    </row>
    <row r="87" spans="1:13" ht="21" customHeight="1">
      <c r="A87" s="64"/>
      <c r="B87" s="64"/>
      <c r="C87" s="64"/>
      <c r="D87" s="64"/>
      <c r="E87" s="64"/>
      <c r="F87" s="64"/>
      <c r="G87" s="65"/>
      <c r="H87" s="66"/>
      <c r="I87" s="66"/>
      <c r="J87" s="61"/>
      <c r="K87" s="61"/>
      <c r="L87" s="67"/>
      <c r="M87" s="51"/>
    </row>
    <row r="88" spans="1:13" ht="21" customHeight="1">
      <c r="A88" s="64"/>
      <c r="B88" s="64"/>
      <c r="C88" s="64"/>
      <c r="D88" s="64"/>
      <c r="E88" s="64"/>
      <c r="F88" s="64"/>
      <c r="G88" s="65"/>
      <c r="H88" s="66"/>
      <c r="I88" s="66"/>
      <c r="J88" s="61"/>
      <c r="K88" s="61"/>
      <c r="L88" s="67"/>
      <c r="M88" s="51"/>
    </row>
    <row r="89" spans="1:13" ht="21" customHeight="1">
      <c r="A89" s="64"/>
      <c r="B89" s="64"/>
      <c r="C89" s="64"/>
      <c r="D89" s="64"/>
      <c r="E89" s="64"/>
      <c r="F89" s="64"/>
      <c r="G89" s="65"/>
      <c r="H89" s="66"/>
      <c r="I89" s="66"/>
      <c r="J89" s="61"/>
      <c r="K89" s="61"/>
      <c r="L89" s="67"/>
      <c r="M89" s="51"/>
    </row>
    <row r="90" spans="1:13" ht="21" customHeight="1">
      <c r="A90" s="64"/>
      <c r="B90" s="64"/>
      <c r="C90" s="64"/>
      <c r="D90" s="64"/>
      <c r="E90" s="64"/>
      <c r="F90" s="64"/>
      <c r="G90" s="65"/>
      <c r="H90" s="66"/>
      <c r="I90" s="66"/>
      <c r="J90" s="61"/>
      <c r="K90" s="61"/>
      <c r="L90" s="67"/>
      <c r="M90" s="51"/>
    </row>
    <row r="91" spans="1:13" ht="21" customHeight="1">
      <c r="A91" s="64"/>
      <c r="B91" s="64"/>
      <c r="C91" s="64"/>
      <c r="D91" s="64"/>
      <c r="E91" s="64"/>
      <c r="F91" s="64"/>
      <c r="G91" s="65"/>
      <c r="H91" s="66"/>
      <c r="I91" s="66"/>
      <c r="J91" s="61"/>
      <c r="K91" s="61"/>
      <c r="L91" s="67"/>
      <c r="M91" s="51"/>
    </row>
    <row r="92" spans="1:13" ht="21" customHeight="1">
      <c r="A92" s="64"/>
      <c r="B92" s="64"/>
      <c r="C92" s="64"/>
      <c r="D92" s="64"/>
      <c r="E92" s="64"/>
      <c r="F92" s="64"/>
      <c r="G92" s="65"/>
      <c r="H92" s="66"/>
      <c r="I92" s="66"/>
      <c r="J92" s="61"/>
      <c r="K92" s="61"/>
      <c r="L92" s="67"/>
      <c r="M92" s="51"/>
    </row>
    <row r="93" spans="1:13" ht="21" customHeight="1">
      <c r="A93" s="64"/>
      <c r="B93" s="64"/>
      <c r="C93" s="64"/>
      <c r="D93" s="64"/>
      <c r="E93" s="64"/>
      <c r="F93" s="64"/>
      <c r="G93" s="65"/>
      <c r="H93" s="66"/>
      <c r="I93" s="66"/>
      <c r="J93" s="61"/>
      <c r="K93" s="61"/>
      <c r="L93" s="67"/>
      <c r="M93" s="51"/>
    </row>
    <row r="94" spans="1:13" ht="21" customHeight="1">
      <c r="A94" s="64"/>
      <c r="B94" s="64"/>
      <c r="C94" s="64"/>
      <c r="D94" s="64"/>
      <c r="E94" s="64"/>
      <c r="F94" s="64"/>
      <c r="G94" s="65"/>
      <c r="H94" s="66"/>
      <c r="I94" s="66"/>
      <c r="J94" s="61"/>
      <c r="K94" s="61"/>
      <c r="L94" s="67"/>
      <c r="M94" s="51"/>
    </row>
    <row r="95" spans="1:13" ht="21" customHeight="1">
      <c r="A95" s="64"/>
      <c r="B95" s="64"/>
      <c r="C95" s="64"/>
      <c r="D95" s="64"/>
      <c r="E95" s="64"/>
      <c r="F95" s="64"/>
      <c r="G95" s="65"/>
      <c r="H95" s="66"/>
      <c r="I95" s="66"/>
      <c r="J95" s="61"/>
      <c r="K95" s="61"/>
      <c r="L95" s="67"/>
      <c r="M95" s="51"/>
    </row>
    <row r="96" spans="1:13" ht="21" customHeight="1">
      <c r="A96" s="64"/>
      <c r="B96" s="64"/>
      <c r="C96" s="64"/>
      <c r="D96" s="64"/>
      <c r="E96" s="64"/>
      <c r="F96" s="64"/>
      <c r="G96" s="65"/>
      <c r="H96" s="66"/>
      <c r="I96" s="66"/>
      <c r="J96" s="61"/>
      <c r="K96" s="61"/>
      <c r="L96" s="67"/>
      <c r="M96" s="51"/>
    </row>
    <row r="97" spans="1:13" ht="21" customHeight="1">
      <c r="A97" s="64"/>
      <c r="B97" s="64"/>
      <c r="C97" s="64"/>
      <c r="D97" s="64"/>
      <c r="E97" s="64"/>
      <c r="F97" s="64"/>
      <c r="G97" s="65"/>
      <c r="H97" s="66"/>
      <c r="I97" s="66"/>
      <c r="J97" s="61"/>
      <c r="K97" s="61"/>
      <c r="L97" s="67"/>
      <c r="M97" s="51"/>
    </row>
    <row r="98" spans="1:13" ht="21" customHeight="1">
      <c r="A98" s="64"/>
      <c r="B98" s="64"/>
      <c r="C98" s="64"/>
      <c r="D98" s="64"/>
      <c r="E98" s="64"/>
      <c r="F98" s="64"/>
      <c r="G98" s="65"/>
      <c r="H98" s="66"/>
      <c r="I98" s="66"/>
      <c r="J98" s="61"/>
      <c r="K98" s="61"/>
      <c r="L98" s="67"/>
      <c r="M98" s="51"/>
    </row>
    <row r="99" spans="1:13" ht="21" customHeight="1">
      <c r="A99" s="64"/>
      <c r="B99" s="64"/>
      <c r="C99" s="64"/>
      <c r="D99" s="64"/>
      <c r="E99" s="64"/>
      <c r="F99" s="64"/>
      <c r="G99" s="65"/>
      <c r="H99" s="66"/>
      <c r="I99" s="66"/>
      <c r="J99" s="61"/>
      <c r="K99" s="61"/>
      <c r="L99" s="67"/>
      <c r="M99" s="51"/>
    </row>
    <row r="100" spans="1:13" ht="21" customHeight="1">
      <c r="A100" s="64"/>
      <c r="B100" s="64"/>
      <c r="C100" s="64"/>
      <c r="D100" s="64"/>
      <c r="E100" s="64"/>
      <c r="F100" s="64"/>
      <c r="G100" s="65"/>
      <c r="H100" s="66"/>
      <c r="I100" s="66"/>
      <c r="J100" s="61"/>
      <c r="K100" s="61"/>
      <c r="L100" s="67"/>
      <c r="M100" s="51"/>
    </row>
    <row r="101" spans="1:13" ht="21" customHeight="1">
      <c r="A101" s="64"/>
      <c r="B101" s="64"/>
      <c r="C101" s="64"/>
      <c r="D101" s="64"/>
      <c r="E101" s="64"/>
      <c r="F101" s="64"/>
      <c r="G101" s="65"/>
      <c r="H101" s="66"/>
      <c r="I101" s="66"/>
      <c r="J101" s="61"/>
      <c r="K101" s="61"/>
      <c r="L101" s="67"/>
      <c r="M101" s="51"/>
    </row>
    <row r="102" spans="1:13" ht="21" customHeight="1">
      <c r="A102" s="64"/>
      <c r="B102" s="64"/>
      <c r="C102" s="64"/>
      <c r="D102" s="64"/>
      <c r="E102" s="64"/>
      <c r="F102" s="64"/>
      <c r="G102" s="65"/>
      <c r="H102" s="66"/>
      <c r="I102" s="66"/>
      <c r="J102" s="61"/>
      <c r="K102" s="61"/>
      <c r="L102" s="67"/>
      <c r="M102" s="51"/>
    </row>
    <row r="103" spans="1:13" ht="21" customHeight="1">
      <c r="A103" s="64"/>
      <c r="B103" s="64"/>
      <c r="C103" s="64"/>
      <c r="D103" s="64"/>
      <c r="E103" s="64"/>
      <c r="F103" s="64"/>
      <c r="G103" s="65"/>
      <c r="H103" s="66"/>
      <c r="I103" s="66"/>
      <c r="J103" s="61"/>
      <c r="K103" s="61"/>
      <c r="L103" s="67"/>
      <c r="M103" s="51"/>
    </row>
    <row r="104" spans="1:13" ht="21" customHeight="1">
      <c r="A104" s="64"/>
      <c r="B104" s="64"/>
      <c r="C104" s="64"/>
      <c r="D104" s="64"/>
      <c r="E104" s="64"/>
      <c r="F104" s="64"/>
      <c r="G104" s="65"/>
      <c r="H104" s="66"/>
      <c r="I104" s="66"/>
      <c r="J104" s="61"/>
      <c r="K104" s="61"/>
      <c r="L104" s="67"/>
      <c r="M104" s="51"/>
    </row>
    <row r="105" spans="1:13" ht="21" customHeight="1">
      <c r="A105" s="64"/>
      <c r="B105" s="64"/>
      <c r="C105" s="64"/>
      <c r="D105" s="64"/>
      <c r="E105" s="64"/>
      <c r="F105" s="64"/>
      <c r="G105" s="65"/>
      <c r="H105" s="66"/>
      <c r="I105" s="66"/>
      <c r="J105" s="61"/>
      <c r="K105" s="61"/>
      <c r="L105" s="67"/>
      <c r="M105" s="51"/>
    </row>
    <row r="106" spans="1:13" ht="21" customHeight="1">
      <c r="A106" s="64"/>
      <c r="B106" s="64"/>
      <c r="C106" s="64"/>
      <c r="D106" s="64"/>
      <c r="E106" s="64"/>
      <c r="F106" s="64"/>
      <c r="G106" s="65"/>
      <c r="H106" s="66"/>
      <c r="I106" s="66"/>
      <c r="J106" s="61"/>
      <c r="K106" s="61"/>
      <c r="L106" s="67"/>
      <c r="M106" s="51"/>
    </row>
    <row r="107" spans="1:13" ht="21" customHeight="1">
      <c r="A107" s="64"/>
      <c r="B107" s="64"/>
      <c r="C107" s="64"/>
      <c r="D107" s="64"/>
      <c r="E107" s="64"/>
      <c r="F107" s="64"/>
      <c r="G107" s="65"/>
      <c r="H107" s="66"/>
      <c r="I107" s="66"/>
      <c r="J107" s="61"/>
      <c r="K107" s="61"/>
      <c r="L107" s="67"/>
      <c r="M107" s="51"/>
    </row>
    <row r="108" spans="1:13" ht="21" customHeight="1">
      <c r="A108" s="64"/>
      <c r="B108" s="64"/>
      <c r="C108" s="64"/>
      <c r="D108" s="64"/>
      <c r="E108" s="64"/>
      <c r="F108" s="64"/>
      <c r="G108" s="65"/>
      <c r="H108" s="66"/>
      <c r="I108" s="66"/>
      <c r="J108" s="61"/>
      <c r="K108" s="61"/>
      <c r="L108" s="67"/>
      <c r="M108" s="51"/>
    </row>
    <row r="109" spans="1:13" ht="21" customHeight="1">
      <c r="A109" s="64"/>
      <c r="B109" s="64"/>
      <c r="C109" s="64"/>
      <c r="D109" s="64"/>
      <c r="E109" s="64"/>
      <c r="F109" s="64"/>
      <c r="G109" s="65"/>
      <c r="H109" s="66"/>
      <c r="I109" s="66"/>
      <c r="J109" s="61"/>
      <c r="K109" s="61"/>
      <c r="L109" s="67"/>
      <c r="M109" s="51"/>
    </row>
    <row r="110" spans="1:13" ht="21" customHeight="1">
      <c r="A110" s="64"/>
      <c r="B110" s="64"/>
      <c r="C110" s="64"/>
      <c r="D110" s="64"/>
      <c r="E110" s="64"/>
      <c r="F110" s="64"/>
      <c r="G110" s="65"/>
      <c r="H110" s="66"/>
      <c r="I110" s="66"/>
      <c r="J110" s="61"/>
      <c r="K110" s="61"/>
      <c r="L110" s="67"/>
      <c r="M110" s="51"/>
    </row>
    <row r="111" spans="1:13" ht="21" customHeight="1">
      <c r="A111" s="64"/>
      <c r="B111" s="64"/>
      <c r="C111" s="64"/>
      <c r="D111" s="64"/>
      <c r="E111" s="64"/>
      <c r="F111" s="64"/>
      <c r="G111" s="65"/>
      <c r="H111" s="66"/>
      <c r="I111" s="66"/>
      <c r="J111" s="61"/>
      <c r="K111" s="61"/>
      <c r="L111" s="67"/>
      <c r="M111" s="51"/>
    </row>
    <row r="112" spans="1:13" ht="21" customHeight="1">
      <c r="A112" s="64"/>
      <c r="B112" s="64"/>
      <c r="C112" s="64"/>
      <c r="D112" s="64"/>
      <c r="E112" s="64"/>
      <c r="F112" s="64"/>
      <c r="G112" s="65"/>
      <c r="H112" s="66"/>
      <c r="I112" s="66"/>
      <c r="J112" s="61"/>
      <c r="K112" s="61"/>
      <c r="L112" s="67"/>
      <c r="M112" s="51"/>
    </row>
    <row r="113" spans="1:13" ht="21" customHeight="1">
      <c r="A113" s="64"/>
      <c r="B113" s="64"/>
      <c r="C113" s="64"/>
      <c r="D113" s="64"/>
      <c r="E113" s="64"/>
      <c r="F113" s="64"/>
      <c r="G113" s="65"/>
      <c r="H113" s="66"/>
      <c r="I113" s="66"/>
      <c r="J113" s="61"/>
      <c r="K113" s="61"/>
      <c r="L113" s="67"/>
      <c r="M113" s="51"/>
    </row>
    <row r="114" spans="1:13" ht="21" customHeight="1">
      <c r="A114" s="64"/>
      <c r="B114" s="64"/>
      <c r="C114" s="64"/>
      <c r="D114" s="64"/>
      <c r="E114" s="64"/>
      <c r="F114" s="64"/>
      <c r="G114" s="65"/>
      <c r="H114" s="66"/>
      <c r="I114" s="66"/>
      <c r="J114" s="61"/>
      <c r="K114" s="61"/>
      <c r="L114" s="67"/>
      <c r="M114" s="51"/>
    </row>
    <row r="115" spans="1:13" ht="21" customHeight="1">
      <c r="A115" s="64"/>
      <c r="B115" s="64"/>
      <c r="C115" s="64"/>
      <c r="D115" s="64"/>
      <c r="E115" s="64"/>
      <c r="F115" s="64"/>
      <c r="G115" s="65"/>
      <c r="H115" s="66"/>
      <c r="I115" s="66"/>
      <c r="J115" s="61"/>
      <c r="K115" s="61"/>
      <c r="L115" s="67"/>
      <c r="M115" s="51"/>
    </row>
    <row r="116" spans="1:13" ht="21" customHeight="1">
      <c r="A116" s="64"/>
      <c r="B116" s="64"/>
      <c r="C116" s="64"/>
      <c r="D116" s="64"/>
      <c r="E116" s="64"/>
      <c r="F116" s="64"/>
      <c r="G116" s="65"/>
      <c r="H116" s="66"/>
      <c r="I116" s="66"/>
      <c r="J116" s="61"/>
      <c r="K116" s="61"/>
      <c r="L116" s="67"/>
      <c r="M116" s="51"/>
    </row>
    <row r="117" spans="1:13" ht="21" customHeight="1">
      <c r="A117" s="64"/>
      <c r="B117" s="64"/>
      <c r="C117" s="64"/>
      <c r="D117" s="64"/>
      <c r="E117" s="64"/>
      <c r="F117" s="64"/>
      <c r="G117" s="65"/>
      <c r="H117" s="66"/>
      <c r="I117" s="66"/>
      <c r="J117" s="61"/>
      <c r="K117" s="61"/>
      <c r="L117" s="67"/>
      <c r="M117" s="51"/>
    </row>
    <row r="118" spans="1:13" ht="21" customHeight="1">
      <c r="A118" s="64"/>
      <c r="B118" s="64"/>
      <c r="C118" s="64"/>
      <c r="D118" s="64"/>
      <c r="E118" s="64"/>
      <c r="F118" s="64"/>
      <c r="G118" s="65"/>
      <c r="H118" s="66"/>
      <c r="I118" s="66"/>
      <c r="J118" s="61"/>
      <c r="K118" s="61"/>
      <c r="L118" s="67"/>
      <c r="M118" s="51"/>
    </row>
    <row r="119" spans="1:13" ht="21" customHeight="1">
      <c r="A119" s="64"/>
      <c r="B119" s="64"/>
      <c r="C119" s="64"/>
      <c r="D119" s="64"/>
      <c r="E119" s="64"/>
      <c r="F119" s="64"/>
      <c r="G119" s="65"/>
      <c r="H119" s="66"/>
      <c r="I119" s="66"/>
      <c r="J119" s="61"/>
      <c r="K119" s="61"/>
      <c r="L119" s="67"/>
      <c r="M119" s="51"/>
    </row>
    <row r="120" spans="1:13" ht="21" customHeight="1">
      <c r="A120" s="64"/>
      <c r="B120" s="64"/>
      <c r="C120" s="64"/>
      <c r="D120" s="64"/>
      <c r="E120" s="64"/>
      <c r="F120" s="64"/>
      <c r="G120" s="65"/>
      <c r="H120" s="66"/>
      <c r="I120" s="66"/>
      <c r="J120" s="61"/>
      <c r="K120" s="61"/>
      <c r="L120" s="67"/>
      <c r="M120" s="51"/>
    </row>
    <row r="121" spans="1:13" ht="21" customHeight="1">
      <c r="A121" s="64"/>
      <c r="B121" s="64"/>
      <c r="C121" s="64"/>
      <c r="D121" s="64"/>
      <c r="E121" s="64"/>
      <c r="F121" s="64"/>
      <c r="G121" s="65"/>
      <c r="H121" s="66"/>
      <c r="I121" s="66"/>
      <c r="J121" s="61"/>
      <c r="K121" s="61"/>
      <c r="L121" s="67"/>
      <c r="M121" s="51"/>
    </row>
    <row r="122" spans="1:13" ht="21" customHeight="1">
      <c r="A122" s="64"/>
      <c r="B122" s="64"/>
      <c r="C122" s="64"/>
      <c r="D122" s="64"/>
      <c r="E122" s="64"/>
      <c r="F122" s="64"/>
      <c r="G122" s="65"/>
      <c r="H122" s="66"/>
      <c r="I122" s="66"/>
      <c r="J122" s="61"/>
      <c r="K122" s="61"/>
      <c r="L122" s="67"/>
      <c r="M122" s="51"/>
    </row>
    <row r="123" spans="1:13" ht="21" customHeight="1">
      <c r="A123" s="64"/>
      <c r="B123" s="64"/>
      <c r="C123" s="64"/>
      <c r="D123" s="64"/>
      <c r="E123" s="64"/>
      <c r="F123" s="64"/>
      <c r="G123" s="65"/>
      <c r="H123" s="66"/>
      <c r="I123" s="66"/>
      <c r="J123" s="61"/>
      <c r="K123" s="61"/>
      <c r="L123" s="67"/>
      <c r="M123" s="51"/>
    </row>
    <row r="124" spans="1:13" ht="21" customHeight="1">
      <c r="A124" s="64"/>
      <c r="B124" s="64"/>
      <c r="C124" s="64"/>
      <c r="D124" s="64"/>
      <c r="E124" s="64"/>
      <c r="F124" s="64"/>
      <c r="G124" s="65"/>
      <c r="H124" s="66"/>
      <c r="I124" s="66"/>
      <c r="J124" s="61"/>
      <c r="K124" s="61"/>
      <c r="L124" s="67"/>
      <c r="M124" s="51"/>
    </row>
    <row r="125" spans="1:13" ht="21" customHeight="1">
      <c r="A125" s="64"/>
      <c r="B125" s="64"/>
      <c r="C125" s="64"/>
      <c r="D125" s="64"/>
      <c r="E125" s="64"/>
      <c r="F125" s="64"/>
      <c r="G125" s="65"/>
      <c r="H125" s="66"/>
      <c r="I125" s="66"/>
      <c r="J125" s="61"/>
      <c r="K125" s="61"/>
      <c r="L125" s="67"/>
      <c r="M125" s="51"/>
    </row>
    <row r="126" spans="1:13" ht="21" customHeight="1">
      <c r="A126" s="64"/>
      <c r="B126" s="64"/>
      <c r="C126" s="64"/>
      <c r="D126" s="64"/>
      <c r="E126" s="64"/>
      <c r="F126" s="64"/>
      <c r="G126" s="65"/>
      <c r="H126" s="66"/>
      <c r="I126" s="66"/>
      <c r="J126" s="61"/>
      <c r="K126" s="61"/>
      <c r="L126" s="67"/>
      <c r="M126" s="51"/>
    </row>
    <row r="127" spans="1:13" ht="21" customHeight="1">
      <c r="A127" s="64"/>
      <c r="B127" s="64"/>
      <c r="C127" s="64"/>
      <c r="D127" s="64"/>
      <c r="E127" s="64"/>
      <c r="F127" s="64"/>
      <c r="G127" s="65"/>
      <c r="H127" s="66"/>
      <c r="I127" s="66"/>
      <c r="J127" s="61"/>
      <c r="K127" s="61"/>
      <c r="L127" s="67"/>
      <c r="M127" s="51"/>
    </row>
    <row r="128" spans="1:13" ht="21" customHeight="1">
      <c r="A128" s="64"/>
      <c r="B128" s="64"/>
      <c r="C128" s="64"/>
      <c r="D128" s="64"/>
      <c r="E128" s="64"/>
      <c r="F128" s="64"/>
      <c r="G128" s="65"/>
      <c r="H128" s="66"/>
      <c r="I128" s="66"/>
      <c r="J128" s="61"/>
      <c r="K128" s="61"/>
      <c r="L128" s="67"/>
      <c r="M128" s="51"/>
    </row>
    <row r="129" spans="1:13" ht="21" customHeight="1">
      <c r="A129" s="64"/>
      <c r="B129" s="64"/>
      <c r="C129" s="64"/>
      <c r="D129" s="64"/>
      <c r="E129" s="64"/>
      <c r="F129" s="64"/>
      <c r="G129" s="65"/>
      <c r="H129" s="66"/>
      <c r="I129" s="66"/>
      <c r="J129" s="61"/>
      <c r="K129" s="61"/>
      <c r="L129" s="67"/>
      <c r="M129" s="51"/>
    </row>
    <row r="130" spans="1:13" ht="21" customHeight="1">
      <c r="A130" s="64"/>
      <c r="B130" s="64"/>
      <c r="C130" s="64"/>
      <c r="D130" s="64"/>
      <c r="E130" s="64"/>
      <c r="F130" s="64"/>
      <c r="G130" s="65"/>
      <c r="H130" s="66"/>
      <c r="I130" s="66"/>
      <c r="J130" s="61"/>
      <c r="K130" s="61"/>
      <c r="L130" s="67"/>
      <c r="M130" s="51"/>
    </row>
    <row r="131" spans="1:13" ht="21" customHeight="1">
      <c r="A131" s="64"/>
      <c r="B131" s="64"/>
      <c r="C131" s="64"/>
      <c r="D131" s="64"/>
      <c r="E131" s="64"/>
      <c r="F131" s="64"/>
      <c r="G131" s="65"/>
      <c r="H131" s="66"/>
      <c r="I131" s="66"/>
      <c r="J131" s="61"/>
      <c r="K131" s="61"/>
      <c r="L131" s="67"/>
      <c r="M131" s="51"/>
    </row>
    <row r="132" spans="1:13" ht="21" customHeight="1">
      <c r="A132" s="64"/>
      <c r="B132" s="64"/>
      <c r="C132" s="64"/>
      <c r="D132" s="64"/>
      <c r="E132" s="64"/>
      <c r="F132" s="64"/>
      <c r="G132" s="65"/>
      <c r="H132" s="66"/>
      <c r="I132" s="66"/>
      <c r="J132" s="61"/>
      <c r="K132" s="61"/>
      <c r="L132" s="67"/>
      <c r="M132" s="51"/>
    </row>
    <row r="133" spans="1:13" ht="21" customHeight="1">
      <c r="A133" s="64"/>
      <c r="B133" s="64"/>
      <c r="C133" s="64"/>
      <c r="D133" s="64"/>
      <c r="E133" s="64"/>
      <c r="F133" s="64"/>
      <c r="G133" s="65"/>
      <c r="H133" s="66"/>
      <c r="I133" s="66"/>
      <c r="J133" s="61"/>
      <c r="K133" s="61"/>
      <c r="L133" s="67"/>
      <c r="M133" s="51"/>
    </row>
    <row r="134" spans="1:13" ht="21" customHeight="1">
      <c r="A134" s="64"/>
      <c r="B134" s="64"/>
      <c r="C134" s="64"/>
      <c r="D134" s="64"/>
      <c r="E134" s="64"/>
      <c r="F134" s="64"/>
      <c r="G134" s="65"/>
      <c r="H134" s="66"/>
      <c r="I134" s="66"/>
      <c r="J134" s="61"/>
      <c r="K134" s="61"/>
      <c r="L134" s="67"/>
      <c r="M134" s="51"/>
    </row>
    <row r="135" spans="1:13" ht="21" customHeight="1">
      <c r="A135" s="64"/>
      <c r="B135" s="64"/>
      <c r="C135" s="64"/>
      <c r="D135" s="64"/>
      <c r="E135" s="64"/>
      <c r="F135" s="64"/>
      <c r="G135" s="65"/>
      <c r="H135" s="66"/>
      <c r="I135" s="66"/>
      <c r="J135" s="61"/>
      <c r="K135" s="61"/>
      <c r="L135" s="67"/>
      <c r="M135" s="51"/>
    </row>
    <row r="136" spans="1:13" ht="21" customHeight="1">
      <c r="A136" s="64"/>
      <c r="B136" s="64"/>
      <c r="C136" s="64"/>
      <c r="D136" s="64"/>
      <c r="E136" s="64"/>
      <c r="F136" s="64"/>
      <c r="G136" s="65"/>
      <c r="H136" s="66"/>
      <c r="I136" s="66"/>
      <c r="J136" s="61"/>
      <c r="K136" s="61"/>
      <c r="L136" s="67"/>
      <c r="M136" s="51"/>
    </row>
    <row r="137" spans="1:13" ht="21" customHeight="1">
      <c r="A137" s="64"/>
      <c r="B137" s="64"/>
      <c r="C137" s="64"/>
      <c r="D137" s="64"/>
      <c r="E137" s="64"/>
      <c r="F137" s="64"/>
      <c r="G137" s="65"/>
      <c r="H137" s="66"/>
      <c r="I137" s="66"/>
      <c r="J137" s="61"/>
      <c r="K137" s="61"/>
      <c r="L137" s="67"/>
      <c r="M137" s="51"/>
    </row>
    <row r="138" spans="1:13" ht="21" customHeight="1">
      <c r="A138" s="64"/>
      <c r="B138" s="64"/>
      <c r="C138" s="64"/>
      <c r="D138" s="64"/>
      <c r="E138" s="64"/>
      <c r="F138" s="64"/>
      <c r="G138" s="65"/>
      <c r="H138" s="66"/>
      <c r="I138" s="66"/>
      <c r="J138" s="61"/>
      <c r="K138" s="61"/>
      <c r="L138" s="67"/>
      <c r="M138" s="51"/>
    </row>
    <row r="139" spans="1:13" ht="21" customHeight="1">
      <c r="A139" s="64"/>
      <c r="B139" s="64"/>
      <c r="C139" s="64"/>
      <c r="D139" s="64"/>
      <c r="E139" s="64"/>
      <c r="F139" s="64"/>
      <c r="G139" s="65"/>
      <c r="H139" s="66"/>
      <c r="I139" s="66"/>
      <c r="J139" s="61"/>
      <c r="K139" s="61"/>
      <c r="L139" s="67"/>
      <c r="M139" s="51"/>
    </row>
    <row r="140" spans="1:13" ht="21" customHeight="1">
      <c r="A140" s="64"/>
      <c r="B140" s="64"/>
      <c r="C140" s="64"/>
      <c r="D140" s="64"/>
      <c r="E140" s="64"/>
      <c r="F140" s="64"/>
      <c r="G140" s="65"/>
      <c r="H140" s="66"/>
      <c r="I140" s="66"/>
      <c r="J140" s="61"/>
      <c r="K140" s="61"/>
      <c r="L140" s="67"/>
      <c r="M140" s="51"/>
    </row>
    <row r="141" spans="1:13" ht="21" customHeight="1">
      <c r="A141" s="64"/>
      <c r="B141" s="64"/>
      <c r="C141" s="64"/>
      <c r="D141" s="64"/>
      <c r="E141" s="64"/>
      <c r="F141" s="64"/>
      <c r="G141" s="65"/>
      <c r="H141" s="66"/>
      <c r="I141" s="66"/>
      <c r="J141" s="61"/>
      <c r="K141" s="61"/>
      <c r="L141" s="67"/>
      <c r="M141" s="51"/>
    </row>
    <row r="142" spans="1:13" ht="21" customHeight="1">
      <c r="A142" s="64"/>
      <c r="B142" s="64"/>
      <c r="C142" s="64"/>
      <c r="D142" s="64"/>
      <c r="E142" s="64"/>
      <c r="F142" s="64"/>
      <c r="G142" s="65"/>
      <c r="H142" s="66"/>
      <c r="I142" s="66"/>
      <c r="J142" s="61"/>
      <c r="K142" s="61"/>
      <c r="L142" s="67"/>
      <c r="M142" s="51"/>
    </row>
    <row r="143" spans="1:13" ht="21" customHeight="1">
      <c r="A143" s="64"/>
      <c r="B143" s="64"/>
      <c r="C143" s="64"/>
      <c r="D143" s="64"/>
      <c r="E143" s="64"/>
      <c r="F143" s="64"/>
      <c r="G143" s="65"/>
      <c r="H143" s="66"/>
      <c r="I143" s="66"/>
      <c r="J143" s="61"/>
      <c r="K143" s="61"/>
      <c r="L143" s="67"/>
      <c r="M143" s="51"/>
    </row>
    <row r="144" spans="1:13" ht="21" customHeight="1">
      <c r="A144" s="64"/>
      <c r="B144" s="64"/>
      <c r="C144" s="64"/>
      <c r="D144" s="64"/>
      <c r="E144" s="64"/>
      <c r="F144" s="64"/>
      <c r="G144" s="65"/>
      <c r="H144" s="66"/>
      <c r="I144" s="66"/>
      <c r="J144" s="61"/>
      <c r="K144" s="61"/>
      <c r="L144" s="67"/>
      <c r="M144" s="51"/>
    </row>
    <row r="145" spans="1:13" ht="21" customHeight="1">
      <c r="A145" s="64"/>
      <c r="B145" s="64"/>
      <c r="C145" s="64"/>
      <c r="D145" s="64"/>
      <c r="E145" s="64"/>
      <c r="F145" s="64"/>
      <c r="G145" s="65"/>
      <c r="H145" s="66"/>
      <c r="I145" s="66"/>
      <c r="J145" s="61"/>
      <c r="K145" s="61"/>
      <c r="L145" s="67"/>
      <c r="M145" s="51"/>
    </row>
    <row r="146" spans="1:13" ht="21" customHeight="1">
      <c r="A146" s="64"/>
      <c r="B146" s="64"/>
      <c r="C146" s="64"/>
      <c r="D146" s="64"/>
      <c r="E146" s="64"/>
      <c r="F146" s="64"/>
      <c r="G146" s="65"/>
      <c r="H146" s="66"/>
      <c r="I146" s="66"/>
      <c r="J146" s="61"/>
      <c r="K146" s="61"/>
      <c r="L146" s="67"/>
      <c r="M146" s="51"/>
    </row>
    <row r="147" spans="1:13" ht="21" customHeight="1">
      <c r="A147" s="64"/>
      <c r="B147" s="64"/>
      <c r="C147" s="64"/>
      <c r="D147" s="64"/>
      <c r="E147" s="64"/>
      <c r="F147" s="64"/>
      <c r="G147" s="65"/>
      <c r="H147" s="66"/>
      <c r="I147" s="66"/>
      <c r="J147" s="61"/>
      <c r="K147" s="61"/>
      <c r="L147" s="67"/>
      <c r="M147" s="51"/>
    </row>
    <row r="148" spans="1:13" ht="21" customHeight="1">
      <c r="A148" s="64"/>
      <c r="B148" s="64"/>
      <c r="C148" s="64"/>
      <c r="D148" s="64"/>
      <c r="E148" s="64"/>
      <c r="F148" s="64"/>
      <c r="G148" s="65"/>
      <c r="H148" s="66"/>
      <c r="I148" s="66"/>
      <c r="J148" s="61"/>
      <c r="K148" s="61"/>
      <c r="L148" s="67"/>
      <c r="M148" s="51"/>
    </row>
    <row r="149" spans="1:13" ht="21" customHeight="1">
      <c r="A149" s="64"/>
      <c r="B149" s="64"/>
      <c r="C149" s="64"/>
      <c r="D149" s="64"/>
      <c r="E149" s="64"/>
      <c r="F149" s="64"/>
      <c r="G149" s="65"/>
      <c r="H149" s="66"/>
      <c r="I149" s="66"/>
      <c r="J149" s="61"/>
      <c r="K149" s="61"/>
      <c r="L149" s="67"/>
      <c r="M149" s="51"/>
    </row>
    <row r="150" spans="1:13" ht="21" customHeight="1">
      <c r="A150" s="64"/>
      <c r="B150" s="64"/>
      <c r="C150" s="64"/>
      <c r="D150" s="64"/>
      <c r="E150" s="64"/>
      <c r="F150" s="64"/>
      <c r="G150" s="65"/>
      <c r="H150" s="66"/>
      <c r="I150" s="66"/>
      <c r="J150" s="61"/>
      <c r="K150" s="61"/>
      <c r="L150" s="67"/>
      <c r="M150" s="51"/>
    </row>
    <row r="151" spans="1:13" ht="21" customHeight="1">
      <c r="A151" s="64"/>
      <c r="B151" s="64"/>
      <c r="C151" s="64"/>
      <c r="D151" s="64"/>
      <c r="E151" s="64"/>
      <c r="F151" s="64"/>
      <c r="G151" s="65"/>
      <c r="H151" s="66"/>
      <c r="I151" s="66"/>
      <c r="J151" s="61"/>
      <c r="K151" s="61"/>
      <c r="L151" s="67"/>
      <c r="M151" s="51"/>
    </row>
    <row r="152" spans="1:13" ht="21" customHeight="1">
      <c r="A152" s="64"/>
      <c r="B152" s="64"/>
      <c r="C152" s="64"/>
      <c r="D152" s="64"/>
      <c r="E152" s="64"/>
      <c r="F152" s="64"/>
      <c r="G152" s="65"/>
      <c r="H152" s="66"/>
      <c r="I152" s="66"/>
      <c r="J152" s="61"/>
      <c r="K152" s="61"/>
      <c r="L152" s="67"/>
      <c r="M152" s="51"/>
    </row>
    <row r="153" spans="1:13" ht="21" customHeight="1">
      <c r="A153" s="64"/>
      <c r="B153" s="64"/>
      <c r="C153" s="64"/>
      <c r="D153" s="64"/>
      <c r="E153" s="64"/>
      <c r="F153" s="64"/>
      <c r="G153" s="65"/>
      <c r="H153" s="66"/>
      <c r="I153" s="66"/>
      <c r="J153" s="61"/>
      <c r="K153" s="61"/>
      <c r="L153" s="67"/>
      <c r="M153" s="51"/>
    </row>
    <row r="154" spans="1:13" ht="21" customHeight="1">
      <c r="A154" s="64"/>
      <c r="B154" s="64"/>
      <c r="C154" s="64"/>
      <c r="D154" s="64"/>
      <c r="E154" s="64"/>
      <c r="F154" s="64"/>
      <c r="G154" s="65"/>
      <c r="H154" s="66"/>
      <c r="I154" s="66"/>
      <c r="J154" s="61"/>
      <c r="K154" s="61"/>
      <c r="L154" s="67"/>
      <c r="M154" s="51"/>
    </row>
    <row r="155" spans="1:13" ht="21" customHeight="1">
      <c r="A155" s="64"/>
      <c r="B155" s="64"/>
      <c r="C155" s="64"/>
      <c r="D155" s="64"/>
      <c r="E155" s="64"/>
      <c r="F155" s="64"/>
      <c r="G155" s="65"/>
      <c r="H155" s="66"/>
      <c r="I155" s="66"/>
      <c r="J155" s="61"/>
      <c r="K155" s="61"/>
      <c r="L155" s="67"/>
      <c r="M155" s="51"/>
    </row>
    <row r="156" spans="1:13" ht="21" customHeight="1">
      <c r="A156" s="64"/>
      <c r="B156" s="64"/>
      <c r="C156" s="64"/>
      <c r="D156" s="64"/>
      <c r="E156" s="64"/>
      <c r="F156" s="64"/>
      <c r="G156" s="65"/>
      <c r="H156" s="66"/>
      <c r="I156" s="66"/>
      <c r="J156" s="61"/>
      <c r="K156" s="61"/>
      <c r="L156" s="67"/>
      <c r="M156" s="51"/>
    </row>
    <row r="157" spans="1:13" ht="21" customHeight="1">
      <c r="A157" s="64"/>
      <c r="B157" s="64"/>
      <c r="C157" s="64"/>
      <c r="D157" s="64"/>
      <c r="E157" s="64"/>
      <c r="F157" s="64"/>
      <c r="G157" s="65"/>
      <c r="H157" s="66"/>
      <c r="I157" s="66"/>
      <c r="J157" s="61"/>
      <c r="K157" s="61"/>
      <c r="L157" s="67"/>
      <c r="M157" s="51"/>
    </row>
    <row r="158" spans="1:13" ht="21" customHeight="1">
      <c r="A158" s="64"/>
      <c r="B158" s="64"/>
      <c r="C158" s="64"/>
      <c r="D158" s="64"/>
      <c r="E158" s="64"/>
      <c r="F158" s="64"/>
      <c r="G158" s="65"/>
      <c r="H158" s="66"/>
      <c r="I158" s="66"/>
      <c r="J158" s="61"/>
      <c r="K158" s="61"/>
      <c r="L158" s="67"/>
      <c r="M158" s="51"/>
    </row>
    <row r="159" spans="1:13" ht="21" customHeight="1">
      <c r="A159" s="64"/>
      <c r="B159" s="64"/>
      <c r="C159" s="64"/>
      <c r="D159" s="64"/>
      <c r="E159" s="64"/>
      <c r="F159" s="64"/>
      <c r="G159" s="65"/>
      <c r="H159" s="66"/>
      <c r="I159" s="66"/>
      <c r="J159" s="61"/>
      <c r="K159" s="61"/>
      <c r="L159" s="67"/>
      <c r="M159" s="51"/>
    </row>
    <row r="160" spans="1:13" ht="21" customHeight="1">
      <c r="A160" s="64"/>
      <c r="B160" s="64"/>
      <c r="C160" s="64"/>
      <c r="D160" s="64"/>
      <c r="E160" s="64"/>
      <c r="F160" s="64"/>
      <c r="G160" s="65"/>
      <c r="H160" s="66"/>
      <c r="I160" s="66"/>
      <c r="J160" s="61"/>
      <c r="K160" s="61"/>
      <c r="L160" s="67"/>
      <c r="M160" s="51"/>
    </row>
    <row r="161" spans="1:13" ht="21" customHeight="1">
      <c r="A161" s="64"/>
      <c r="B161" s="64"/>
      <c r="C161" s="64"/>
      <c r="D161" s="64"/>
      <c r="E161" s="64"/>
      <c r="F161" s="64"/>
      <c r="G161" s="65"/>
      <c r="H161" s="66"/>
      <c r="I161" s="66"/>
      <c r="J161" s="61"/>
      <c r="K161" s="61"/>
      <c r="L161" s="67"/>
      <c r="M161" s="51"/>
    </row>
    <row r="162" spans="1:13" ht="21" customHeight="1">
      <c r="A162" s="64"/>
      <c r="B162" s="64"/>
      <c r="C162" s="64"/>
      <c r="D162" s="64"/>
      <c r="E162" s="64"/>
      <c r="F162" s="64"/>
      <c r="G162" s="65"/>
      <c r="H162" s="66"/>
      <c r="I162" s="66"/>
      <c r="J162" s="61"/>
      <c r="K162" s="61"/>
      <c r="L162" s="67"/>
      <c r="M162" s="51"/>
    </row>
    <row r="163" spans="1:13" ht="21" customHeight="1">
      <c r="A163" s="64"/>
      <c r="B163" s="64"/>
      <c r="C163" s="64"/>
      <c r="D163" s="64"/>
      <c r="E163" s="64"/>
      <c r="F163" s="64"/>
      <c r="G163" s="65"/>
      <c r="H163" s="66"/>
      <c r="I163" s="66"/>
      <c r="J163" s="61"/>
      <c r="K163" s="61"/>
      <c r="L163" s="67"/>
      <c r="M163" s="51"/>
    </row>
    <row r="164" spans="1:13" ht="21" customHeight="1">
      <c r="A164" s="64"/>
      <c r="B164" s="64"/>
      <c r="C164" s="64"/>
      <c r="D164" s="64"/>
      <c r="E164" s="64"/>
      <c r="F164" s="64"/>
      <c r="G164" s="65"/>
      <c r="H164" s="66"/>
      <c r="I164" s="66"/>
      <c r="J164" s="61"/>
      <c r="K164" s="61"/>
      <c r="L164" s="67"/>
      <c r="M164" s="51"/>
    </row>
    <row r="165" spans="1:13" ht="21" customHeight="1">
      <c r="A165" s="64"/>
      <c r="B165" s="64"/>
      <c r="C165" s="64"/>
      <c r="D165" s="64"/>
      <c r="E165" s="64"/>
      <c r="F165" s="64"/>
      <c r="G165" s="65"/>
      <c r="H165" s="66"/>
      <c r="I165" s="66"/>
      <c r="J165" s="61"/>
      <c r="K165" s="61"/>
      <c r="L165" s="67"/>
      <c r="M165" s="51"/>
    </row>
    <row r="166" spans="1:13" ht="21" customHeight="1">
      <c r="A166" s="64"/>
      <c r="B166" s="64"/>
      <c r="C166" s="64"/>
      <c r="D166" s="64"/>
      <c r="E166" s="64"/>
      <c r="F166" s="64"/>
      <c r="G166" s="65"/>
      <c r="H166" s="66"/>
      <c r="I166" s="66"/>
      <c r="J166" s="61"/>
      <c r="K166" s="61"/>
      <c r="L166" s="67"/>
      <c r="M166" s="51"/>
    </row>
    <row r="167" spans="1:13" ht="21" customHeight="1">
      <c r="A167" s="64"/>
      <c r="B167" s="64"/>
      <c r="C167" s="64"/>
      <c r="D167" s="64"/>
      <c r="E167" s="64"/>
      <c r="F167" s="64"/>
      <c r="G167" s="65"/>
      <c r="H167" s="66"/>
      <c r="I167" s="66"/>
      <c r="J167" s="61"/>
      <c r="K167" s="61"/>
      <c r="L167" s="67"/>
      <c r="M167" s="51"/>
    </row>
    <row r="168" spans="1:13" ht="21" customHeight="1">
      <c r="A168" s="64"/>
      <c r="B168" s="64"/>
      <c r="C168" s="64"/>
      <c r="D168" s="64"/>
      <c r="E168" s="64"/>
      <c r="F168" s="64"/>
      <c r="G168" s="65"/>
      <c r="H168" s="66"/>
      <c r="I168" s="66"/>
      <c r="J168" s="61"/>
      <c r="K168" s="61"/>
      <c r="L168" s="67"/>
      <c r="M168" s="51"/>
    </row>
    <row r="169" spans="1:13" ht="21" customHeight="1">
      <c r="A169" s="64"/>
      <c r="B169" s="64"/>
      <c r="C169" s="64"/>
      <c r="D169" s="64"/>
      <c r="E169" s="64"/>
      <c r="F169" s="64"/>
      <c r="G169" s="65"/>
      <c r="H169" s="66"/>
      <c r="I169" s="66"/>
      <c r="J169" s="61"/>
      <c r="K169" s="61"/>
      <c r="L169" s="67"/>
      <c r="M169" s="51"/>
    </row>
    <row r="170" spans="1:13" ht="21" customHeight="1">
      <c r="A170" s="64"/>
      <c r="B170" s="64"/>
      <c r="C170" s="64"/>
      <c r="D170" s="64"/>
      <c r="E170" s="64"/>
      <c r="F170" s="64"/>
      <c r="G170" s="65"/>
      <c r="H170" s="66"/>
      <c r="I170" s="66"/>
      <c r="J170" s="61"/>
      <c r="K170" s="61"/>
      <c r="L170" s="67"/>
      <c r="M170" s="51"/>
    </row>
    <row r="171" spans="1:13" ht="21" customHeight="1">
      <c r="A171" s="64"/>
      <c r="B171" s="64"/>
      <c r="C171" s="64"/>
      <c r="D171" s="64"/>
      <c r="E171" s="64"/>
      <c r="F171" s="64"/>
      <c r="G171" s="65"/>
      <c r="H171" s="66"/>
      <c r="I171" s="66"/>
      <c r="J171" s="61"/>
      <c r="K171" s="61"/>
      <c r="L171" s="67"/>
      <c r="M171" s="51"/>
    </row>
    <row r="172" spans="1:13" ht="21" customHeight="1">
      <c r="A172" s="64"/>
      <c r="B172" s="64"/>
      <c r="C172" s="64"/>
      <c r="D172" s="64"/>
      <c r="E172" s="64"/>
      <c r="F172" s="64"/>
      <c r="G172" s="65"/>
      <c r="H172" s="66"/>
      <c r="I172" s="66"/>
      <c r="J172" s="61"/>
      <c r="K172" s="61"/>
      <c r="L172" s="67"/>
      <c r="M172" s="51"/>
    </row>
    <row r="173" spans="1:13" ht="21" customHeight="1">
      <c r="A173" s="64"/>
      <c r="B173" s="64"/>
      <c r="C173" s="64"/>
      <c r="D173" s="64"/>
      <c r="E173" s="64"/>
      <c r="F173" s="64"/>
      <c r="G173" s="65"/>
      <c r="H173" s="66"/>
      <c r="I173" s="66"/>
      <c r="J173" s="61"/>
      <c r="K173" s="61"/>
      <c r="L173" s="67"/>
      <c r="M173" s="51"/>
    </row>
    <row r="174" spans="1:13" ht="21" customHeight="1">
      <c r="A174" s="64"/>
      <c r="B174" s="64"/>
      <c r="C174" s="64"/>
      <c r="D174" s="64"/>
      <c r="E174" s="64"/>
      <c r="F174" s="64"/>
      <c r="G174" s="65"/>
      <c r="H174" s="66"/>
      <c r="I174" s="66"/>
      <c r="J174" s="61"/>
      <c r="K174" s="61"/>
      <c r="L174" s="67"/>
      <c r="M174" s="51"/>
    </row>
    <row r="175" spans="1:13" ht="21" customHeight="1">
      <c r="A175" s="64"/>
      <c r="B175" s="64"/>
      <c r="C175" s="64"/>
      <c r="D175" s="64"/>
      <c r="E175" s="64"/>
      <c r="F175" s="64"/>
      <c r="G175" s="65"/>
      <c r="H175" s="66"/>
      <c r="I175" s="66"/>
      <c r="J175" s="61"/>
      <c r="K175" s="61"/>
      <c r="L175" s="67"/>
      <c r="M175" s="51"/>
    </row>
    <row r="176" spans="1:13" ht="21" customHeight="1">
      <c r="A176" s="64"/>
      <c r="B176" s="64"/>
      <c r="C176" s="64"/>
      <c r="D176" s="64"/>
      <c r="E176" s="64"/>
      <c r="F176" s="64"/>
      <c r="G176" s="65"/>
      <c r="H176" s="66"/>
      <c r="I176" s="66"/>
      <c r="J176" s="61"/>
      <c r="K176" s="61"/>
      <c r="L176" s="67"/>
      <c r="M176" s="51"/>
    </row>
    <row r="177" spans="1:13" ht="21" customHeight="1">
      <c r="A177" s="64"/>
      <c r="B177" s="64"/>
      <c r="C177" s="64"/>
      <c r="D177" s="64"/>
      <c r="E177" s="64"/>
      <c r="F177" s="64"/>
      <c r="G177" s="65"/>
      <c r="H177" s="66"/>
      <c r="I177" s="66"/>
      <c r="J177" s="61"/>
      <c r="K177" s="61"/>
      <c r="L177" s="67"/>
      <c r="M177" s="51"/>
    </row>
    <row r="178" spans="1:13" ht="21" customHeight="1">
      <c r="A178" s="64"/>
      <c r="B178" s="64"/>
      <c r="C178" s="64"/>
      <c r="D178" s="64"/>
      <c r="E178" s="64"/>
      <c r="F178" s="64"/>
      <c r="G178" s="65"/>
      <c r="H178" s="66"/>
      <c r="I178" s="66"/>
      <c r="J178" s="61"/>
      <c r="K178" s="61"/>
      <c r="L178" s="67"/>
      <c r="M178" s="51"/>
    </row>
    <row r="179" spans="1:13" ht="21" customHeight="1">
      <c r="A179" s="64"/>
      <c r="B179" s="64"/>
      <c r="C179" s="64"/>
      <c r="D179" s="64"/>
      <c r="E179" s="64"/>
      <c r="F179" s="64"/>
      <c r="G179" s="65"/>
      <c r="H179" s="66"/>
      <c r="I179" s="66"/>
      <c r="J179" s="61"/>
      <c r="K179" s="61"/>
      <c r="L179" s="67"/>
      <c r="M179" s="51"/>
    </row>
    <row r="180" spans="1:13" ht="21" customHeight="1">
      <c r="A180" s="64"/>
      <c r="B180" s="64"/>
      <c r="C180" s="64"/>
      <c r="D180" s="64"/>
      <c r="E180" s="64"/>
      <c r="F180" s="64"/>
      <c r="G180" s="65"/>
      <c r="H180" s="66"/>
      <c r="I180" s="66"/>
      <c r="J180" s="61"/>
      <c r="K180" s="61"/>
      <c r="L180" s="67"/>
      <c r="M180" s="51"/>
    </row>
    <row r="181" spans="1:13" ht="21" customHeight="1">
      <c r="A181" s="64"/>
      <c r="B181" s="64"/>
      <c r="C181" s="64"/>
      <c r="D181" s="64"/>
      <c r="E181" s="64"/>
      <c r="F181" s="64"/>
      <c r="G181" s="65"/>
      <c r="H181" s="66"/>
      <c r="I181" s="66"/>
      <c r="J181" s="61"/>
      <c r="K181" s="61"/>
      <c r="L181" s="67"/>
      <c r="M181" s="51"/>
    </row>
    <row r="182" spans="1:13" ht="21" customHeight="1">
      <c r="A182" s="64"/>
      <c r="B182" s="64"/>
      <c r="C182" s="64"/>
      <c r="D182" s="64"/>
      <c r="E182" s="64"/>
      <c r="F182" s="64"/>
      <c r="G182" s="65"/>
      <c r="H182" s="66"/>
      <c r="I182" s="66"/>
      <c r="J182" s="61"/>
      <c r="K182" s="61"/>
      <c r="L182" s="67"/>
      <c r="M182" s="51"/>
    </row>
    <row r="183" spans="1:13" ht="21" customHeight="1">
      <c r="A183" s="64"/>
      <c r="B183" s="64"/>
      <c r="C183" s="64"/>
      <c r="D183" s="64"/>
      <c r="E183" s="64"/>
      <c r="F183" s="64"/>
      <c r="G183" s="65"/>
      <c r="H183" s="66"/>
      <c r="I183" s="66"/>
      <c r="J183" s="61"/>
      <c r="K183" s="61"/>
      <c r="L183" s="67"/>
      <c r="M183" s="51"/>
    </row>
    <row r="184" spans="1:13" ht="21" customHeight="1">
      <c r="A184" s="64"/>
      <c r="B184" s="64"/>
      <c r="C184" s="64"/>
      <c r="D184" s="64"/>
      <c r="E184" s="64"/>
      <c r="F184" s="64"/>
      <c r="G184" s="65"/>
      <c r="H184" s="66"/>
      <c r="I184" s="66"/>
      <c r="J184" s="61"/>
      <c r="K184" s="61"/>
      <c r="L184" s="67"/>
      <c r="M184" s="51"/>
    </row>
    <row r="185" spans="1:13" ht="21" customHeight="1">
      <c r="A185" s="64"/>
      <c r="B185" s="64"/>
      <c r="C185" s="64"/>
      <c r="D185" s="64"/>
      <c r="E185" s="64"/>
      <c r="F185" s="64"/>
      <c r="G185" s="65"/>
      <c r="H185" s="66"/>
      <c r="I185" s="66"/>
      <c r="J185" s="61"/>
      <c r="K185" s="61"/>
      <c r="L185" s="67"/>
      <c r="M185" s="51"/>
    </row>
    <row r="186" spans="1:13" ht="21" customHeight="1">
      <c r="A186" s="64"/>
      <c r="B186" s="64"/>
      <c r="C186" s="64"/>
      <c r="D186" s="64"/>
      <c r="E186" s="64"/>
      <c r="F186" s="64"/>
      <c r="G186" s="65"/>
      <c r="H186" s="66"/>
      <c r="I186" s="66"/>
      <c r="J186" s="61"/>
      <c r="K186" s="61"/>
      <c r="L186" s="67"/>
      <c r="M186" s="51"/>
    </row>
    <row r="187" spans="1:13" ht="21" customHeight="1">
      <c r="A187" s="64"/>
      <c r="B187" s="64"/>
      <c r="C187" s="64"/>
      <c r="D187" s="64"/>
      <c r="E187" s="64"/>
      <c r="F187" s="64"/>
      <c r="G187" s="65"/>
      <c r="H187" s="66"/>
      <c r="I187" s="66"/>
      <c r="J187" s="61"/>
      <c r="K187" s="61"/>
      <c r="L187" s="67"/>
      <c r="M187" s="51"/>
    </row>
    <row r="188" spans="1:13" ht="21" customHeight="1">
      <c r="A188" s="64"/>
      <c r="B188" s="64"/>
      <c r="C188" s="64"/>
      <c r="D188" s="64"/>
      <c r="E188" s="64"/>
      <c r="F188" s="64"/>
      <c r="G188" s="65"/>
      <c r="H188" s="66"/>
      <c r="I188" s="66"/>
      <c r="J188" s="61"/>
      <c r="K188" s="61"/>
      <c r="L188" s="67"/>
      <c r="M188" s="51"/>
    </row>
    <row r="189" spans="1:13" ht="21" customHeight="1">
      <c r="A189" s="64"/>
      <c r="B189" s="64"/>
      <c r="C189" s="64"/>
      <c r="D189" s="64"/>
      <c r="E189" s="64"/>
      <c r="F189" s="64"/>
      <c r="G189" s="65"/>
      <c r="H189" s="66"/>
      <c r="I189" s="66"/>
      <c r="J189" s="61"/>
      <c r="K189" s="61"/>
      <c r="L189" s="67"/>
      <c r="M189" s="51"/>
    </row>
    <row r="190" spans="1:13" ht="21" customHeight="1">
      <c r="A190" s="64"/>
      <c r="B190" s="64"/>
      <c r="C190" s="64"/>
      <c r="D190" s="64"/>
      <c r="E190" s="64"/>
      <c r="F190" s="64"/>
      <c r="G190" s="65"/>
      <c r="H190" s="66"/>
      <c r="I190" s="66"/>
      <c r="J190" s="61"/>
      <c r="K190" s="61"/>
      <c r="L190" s="67"/>
      <c r="M190" s="51"/>
    </row>
    <row r="191" spans="1:13" ht="21" customHeight="1">
      <c r="A191" s="64"/>
      <c r="B191" s="64"/>
      <c r="C191" s="64"/>
      <c r="D191" s="64"/>
      <c r="E191" s="64"/>
      <c r="F191" s="64"/>
      <c r="G191" s="65"/>
      <c r="H191" s="66"/>
      <c r="I191" s="66"/>
      <c r="J191" s="61"/>
      <c r="K191" s="61"/>
      <c r="L191" s="67"/>
      <c r="M191" s="51"/>
    </row>
    <row r="192" spans="1:13" ht="21" customHeight="1">
      <c r="A192" s="64"/>
      <c r="B192" s="64"/>
      <c r="C192" s="64"/>
      <c r="D192" s="64"/>
      <c r="E192" s="64"/>
      <c r="F192" s="64"/>
      <c r="G192" s="65"/>
      <c r="H192" s="66"/>
      <c r="I192" s="66"/>
      <c r="J192" s="61"/>
      <c r="K192" s="61"/>
      <c r="L192" s="67"/>
      <c r="M192" s="51"/>
    </row>
    <row r="193" spans="1:13" ht="21" customHeight="1">
      <c r="A193" s="64"/>
      <c r="B193" s="64"/>
      <c r="C193" s="64"/>
      <c r="D193" s="64"/>
      <c r="E193" s="64"/>
      <c r="F193" s="64"/>
      <c r="G193" s="65"/>
      <c r="H193" s="66"/>
      <c r="I193" s="66"/>
      <c r="J193" s="61"/>
      <c r="K193" s="61"/>
      <c r="L193" s="67"/>
      <c r="M193" s="51"/>
    </row>
    <row r="194" spans="1:13" ht="21" customHeight="1">
      <c r="A194" s="64"/>
      <c r="B194" s="64"/>
      <c r="C194" s="64"/>
      <c r="D194" s="64"/>
      <c r="E194" s="64"/>
      <c r="F194" s="64"/>
      <c r="G194" s="65"/>
      <c r="H194" s="66"/>
      <c r="I194" s="66"/>
      <c r="J194" s="61"/>
      <c r="K194" s="61"/>
      <c r="L194" s="67"/>
      <c r="M194" s="51"/>
    </row>
    <row r="195" spans="1:13" ht="21" customHeight="1">
      <c r="A195" s="64"/>
      <c r="B195" s="64"/>
      <c r="C195" s="64"/>
      <c r="D195" s="64"/>
      <c r="E195" s="64"/>
      <c r="F195" s="64"/>
      <c r="G195" s="65"/>
      <c r="H195" s="66"/>
      <c r="I195" s="66"/>
      <c r="J195" s="61"/>
      <c r="K195" s="61"/>
      <c r="L195" s="67"/>
      <c r="M195" s="51"/>
    </row>
    <row r="196" spans="1:13" ht="21" customHeight="1">
      <c r="A196" s="64"/>
      <c r="B196" s="64"/>
      <c r="C196" s="64"/>
      <c r="D196" s="64"/>
      <c r="E196" s="64"/>
      <c r="F196" s="64"/>
      <c r="G196" s="65"/>
      <c r="H196" s="66"/>
      <c r="I196" s="66"/>
      <c r="J196" s="61"/>
      <c r="K196" s="61"/>
      <c r="L196" s="67"/>
      <c r="M196" s="51"/>
    </row>
    <row r="197" spans="1:13" ht="21" customHeight="1">
      <c r="A197" s="64"/>
      <c r="B197" s="64"/>
      <c r="C197" s="64"/>
      <c r="D197" s="64"/>
      <c r="E197" s="64"/>
      <c r="F197" s="64"/>
      <c r="G197" s="65"/>
      <c r="H197" s="66"/>
      <c r="I197" s="66"/>
      <c r="J197" s="61"/>
      <c r="K197" s="61"/>
      <c r="L197" s="67"/>
      <c r="M197" s="51"/>
    </row>
    <row r="198" spans="1:13" ht="21" customHeight="1">
      <c r="A198" s="64"/>
      <c r="B198" s="64"/>
      <c r="C198" s="64"/>
      <c r="D198" s="64"/>
      <c r="E198" s="64"/>
      <c r="F198" s="64"/>
      <c r="G198" s="65"/>
      <c r="H198" s="66"/>
      <c r="I198" s="66"/>
      <c r="J198" s="61"/>
      <c r="K198" s="61"/>
      <c r="L198" s="67"/>
      <c r="M198" s="51"/>
    </row>
    <row r="199" spans="1:13" ht="21" customHeight="1">
      <c r="A199" s="64"/>
      <c r="B199" s="64"/>
      <c r="C199" s="64"/>
      <c r="D199" s="64"/>
      <c r="E199" s="64"/>
      <c r="F199" s="64"/>
      <c r="G199" s="65"/>
      <c r="H199" s="66"/>
      <c r="I199" s="66"/>
      <c r="J199" s="61"/>
      <c r="K199" s="61"/>
      <c r="L199" s="67"/>
      <c r="M199" s="51"/>
    </row>
    <row r="200" spans="1:13" ht="21" customHeight="1">
      <c r="A200" s="64"/>
      <c r="B200" s="64"/>
      <c r="C200" s="64"/>
      <c r="D200" s="64"/>
      <c r="E200" s="64"/>
      <c r="F200" s="64"/>
      <c r="G200" s="65"/>
      <c r="H200" s="66"/>
      <c r="I200" s="66"/>
      <c r="J200" s="61"/>
      <c r="K200" s="61"/>
      <c r="L200" s="67"/>
      <c r="M200" s="51"/>
    </row>
    <row r="201" spans="1:13" ht="21" customHeight="1">
      <c r="A201" s="64"/>
      <c r="B201" s="64"/>
      <c r="C201" s="64"/>
      <c r="D201" s="64"/>
      <c r="E201" s="64"/>
      <c r="F201" s="64"/>
      <c r="G201" s="65"/>
      <c r="H201" s="66"/>
      <c r="I201" s="66"/>
      <c r="J201" s="61"/>
      <c r="K201" s="61"/>
      <c r="L201" s="67"/>
      <c r="M201" s="51"/>
    </row>
    <row r="202" spans="1:13" ht="21" customHeight="1">
      <c r="A202" s="64"/>
      <c r="B202" s="64"/>
      <c r="C202" s="64"/>
      <c r="D202" s="64"/>
      <c r="E202" s="64"/>
      <c r="F202" s="64"/>
      <c r="G202" s="65"/>
      <c r="H202" s="66"/>
      <c r="I202" s="66"/>
      <c r="J202" s="61"/>
      <c r="K202" s="61"/>
      <c r="L202" s="67"/>
      <c r="M202" s="51"/>
    </row>
    <row r="203" spans="1:13" ht="21" customHeight="1">
      <c r="A203" s="64"/>
      <c r="B203" s="64"/>
      <c r="C203" s="64"/>
      <c r="D203" s="64"/>
      <c r="E203" s="64"/>
      <c r="F203" s="64"/>
      <c r="G203" s="65"/>
      <c r="H203" s="66"/>
      <c r="I203" s="66"/>
      <c r="J203" s="61"/>
      <c r="K203" s="61"/>
      <c r="L203" s="67"/>
      <c r="M203" s="51"/>
    </row>
    <row r="204" spans="1:13" ht="21" customHeight="1">
      <c r="A204" s="64"/>
      <c r="B204" s="64"/>
      <c r="C204" s="64"/>
      <c r="D204" s="64"/>
      <c r="E204" s="64"/>
      <c r="F204" s="64"/>
      <c r="G204" s="65"/>
      <c r="H204" s="66"/>
      <c r="I204" s="66"/>
      <c r="J204" s="61"/>
      <c r="K204" s="61"/>
      <c r="L204" s="67"/>
      <c r="M204" s="51"/>
    </row>
    <row r="205" spans="1:13" ht="21" customHeight="1">
      <c r="A205" s="64"/>
      <c r="B205" s="64"/>
      <c r="C205" s="64"/>
      <c r="D205" s="64"/>
      <c r="E205" s="64"/>
      <c r="F205" s="64"/>
      <c r="G205" s="65"/>
      <c r="H205" s="66"/>
      <c r="I205" s="66"/>
      <c r="J205" s="61"/>
      <c r="K205" s="61"/>
      <c r="L205" s="67"/>
      <c r="M205" s="51"/>
    </row>
    <row r="206" spans="1:13" ht="21" customHeight="1">
      <c r="A206" s="64"/>
      <c r="B206" s="64"/>
      <c r="C206" s="64"/>
      <c r="D206" s="64"/>
      <c r="E206" s="64"/>
      <c r="F206" s="64"/>
      <c r="G206" s="65"/>
      <c r="H206" s="66"/>
      <c r="I206" s="66"/>
      <c r="J206" s="61"/>
      <c r="K206" s="61"/>
      <c r="L206" s="67"/>
      <c r="M206" s="51"/>
    </row>
    <row r="207" spans="1:13" ht="21" customHeight="1">
      <c r="A207" s="64"/>
      <c r="B207" s="64"/>
      <c r="C207" s="64"/>
      <c r="D207" s="64"/>
      <c r="E207" s="64"/>
      <c r="F207" s="64"/>
      <c r="G207" s="65"/>
      <c r="H207" s="66"/>
      <c r="I207" s="66"/>
      <c r="J207" s="61"/>
      <c r="K207" s="61"/>
      <c r="L207" s="67"/>
      <c r="M207" s="51"/>
    </row>
    <row r="208" spans="1:13" ht="21" customHeight="1">
      <c r="A208" s="64"/>
      <c r="B208" s="64"/>
      <c r="C208" s="64"/>
      <c r="D208" s="64"/>
      <c r="E208" s="64"/>
      <c r="F208" s="64"/>
      <c r="G208" s="65"/>
      <c r="H208" s="66"/>
      <c r="I208" s="66"/>
      <c r="J208" s="61"/>
      <c r="K208" s="61"/>
      <c r="L208" s="67"/>
      <c r="M208" s="51"/>
    </row>
    <row r="209" spans="1:13" ht="21" customHeight="1">
      <c r="A209" s="64"/>
      <c r="B209" s="64"/>
      <c r="C209" s="64"/>
      <c r="D209" s="64"/>
      <c r="E209" s="64"/>
      <c r="F209" s="64"/>
      <c r="G209" s="65"/>
      <c r="H209" s="66"/>
      <c r="I209" s="66"/>
      <c r="J209" s="61"/>
      <c r="K209" s="61"/>
      <c r="L209" s="67"/>
      <c r="M209" s="51"/>
    </row>
    <row r="210" spans="1:13" ht="21" customHeight="1">
      <c r="A210" s="64"/>
      <c r="B210" s="64"/>
      <c r="C210" s="64"/>
      <c r="D210" s="64"/>
      <c r="E210" s="64"/>
      <c r="F210" s="64"/>
      <c r="G210" s="65"/>
      <c r="H210" s="66"/>
      <c r="I210" s="66"/>
      <c r="J210" s="61"/>
      <c r="K210" s="61"/>
      <c r="L210" s="67"/>
      <c r="M210" s="51"/>
    </row>
    <row r="211" spans="1:13" ht="21" customHeight="1">
      <c r="A211" s="64"/>
      <c r="B211" s="64"/>
      <c r="C211" s="64"/>
      <c r="D211" s="64"/>
      <c r="E211" s="64"/>
      <c r="F211" s="64"/>
      <c r="G211" s="65"/>
      <c r="H211" s="66"/>
      <c r="I211" s="66"/>
      <c r="J211" s="61"/>
      <c r="K211" s="61"/>
      <c r="L211" s="67"/>
      <c r="M211" s="51"/>
    </row>
    <row r="212" spans="1:13" ht="21" customHeight="1">
      <c r="A212" s="64"/>
      <c r="B212" s="64"/>
      <c r="C212" s="64"/>
      <c r="D212" s="64"/>
      <c r="E212" s="64"/>
      <c r="F212" s="64"/>
      <c r="G212" s="65"/>
      <c r="H212" s="66"/>
      <c r="I212" s="66"/>
      <c r="J212" s="61"/>
      <c r="K212" s="61"/>
      <c r="L212" s="67"/>
      <c r="M212" s="51"/>
    </row>
    <row r="213" spans="1:13" ht="21" customHeight="1">
      <c r="A213" s="64"/>
      <c r="B213" s="64"/>
      <c r="C213" s="64"/>
      <c r="D213" s="64"/>
      <c r="E213" s="64"/>
      <c r="F213" s="64"/>
      <c r="G213" s="65"/>
      <c r="H213" s="66"/>
      <c r="I213" s="66"/>
      <c r="J213" s="61"/>
      <c r="K213" s="61"/>
      <c r="L213" s="67"/>
      <c r="M213" s="51"/>
    </row>
    <row r="214" spans="1:13" ht="21" customHeight="1">
      <c r="A214" s="64"/>
      <c r="B214" s="64"/>
      <c r="C214" s="64"/>
      <c r="D214" s="64"/>
      <c r="E214" s="64"/>
      <c r="F214" s="64"/>
      <c r="G214" s="65"/>
      <c r="H214" s="66"/>
      <c r="I214" s="66"/>
      <c r="J214" s="61"/>
      <c r="K214" s="61"/>
      <c r="L214" s="67"/>
      <c r="M214" s="51"/>
    </row>
    <row r="215" spans="1:13" ht="21" customHeight="1">
      <c r="A215" s="64"/>
      <c r="B215" s="64"/>
      <c r="C215" s="64"/>
      <c r="D215" s="64"/>
      <c r="E215" s="64"/>
      <c r="F215" s="64"/>
      <c r="G215" s="65"/>
      <c r="H215" s="66"/>
      <c r="I215" s="66"/>
      <c r="J215" s="61"/>
      <c r="K215" s="61"/>
      <c r="L215" s="67"/>
      <c r="M215" s="51"/>
    </row>
    <row r="216" spans="1:13" ht="21" customHeight="1">
      <c r="A216" s="64"/>
      <c r="B216" s="64"/>
      <c r="C216" s="64"/>
      <c r="D216" s="64"/>
      <c r="E216" s="64"/>
      <c r="F216" s="64"/>
      <c r="G216" s="65"/>
      <c r="H216" s="66"/>
      <c r="I216" s="66"/>
      <c r="J216" s="61"/>
      <c r="K216" s="61"/>
      <c r="L216" s="67"/>
      <c r="M216" s="51"/>
    </row>
    <row r="217" spans="1:13" ht="21" customHeight="1">
      <c r="A217" s="64"/>
      <c r="B217" s="64"/>
      <c r="C217" s="64"/>
      <c r="D217" s="64"/>
      <c r="E217" s="64"/>
      <c r="F217" s="64"/>
      <c r="G217" s="65"/>
      <c r="H217" s="66"/>
      <c r="I217" s="66"/>
      <c r="J217" s="61"/>
      <c r="K217" s="61"/>
      <c r="L217" s="67"/>
      <c r="M217" s="51"/>
    </row>
    <row r="218" spans="1:13" ht="21" customHeight="1">
      <c r="A218" s="64"/>
      <c r="B218" s="64"/>
      <c r="C218" s="64"/>
      <c r="D218" s="64"/>
      <c r="E218" s="64"/>
      <c r="F218" s="64"/>
      <c r="G218" s="65"/>
      <c r="H218" s="66"/>
      <c r="I218" s="66"/>
      <c r="J218" s="61"/>
      <c r="K218" s="61"/>
      <c r="L218" s="67"/>
      <c r="M218" s="51"/>
    </row>
    <row r="219" spans="1:13" ht="21" customHeight="1">
      <c r="A219" s="64"/>
      <c r="B219" s="64"/>
      <c r="C219" s="64"/>
      <c r="D219" s="64"/>
      <c r="E219" s="64"/>
      <c r="F219" s="64"/>
      <c r="G219" s="65"/>
      <c r="H219" s="66"/>
      <c r="I219" s="66"/>
      <c r="J219" s="61"/>
      <c r="K219" s="61"/>
      <c r="L219" s="67"/>
      <c r="M219" s="51"/>
    </row>
    <row r="220" spans="1:13" ht="21" customHeight="1">
      <c r="A220" s="64"/>
      <c r="B220" s="64"/>
      <c r="C220" s="64"/>
      <c r="D220" s="64"/>
      <c r="E220" s="64"/>
      <c r="F220" s="64"/>
      <c r="G220" s="65"/>
      <c r="H220" s="66"/>
      <c r="I220" s="66"/>
      <c r="J220" s="61"/>
      <c r="K220" s="61"/>
      <c r="L220" s="67"/>
      <c r="M220" s="51"/>
    </row>
    <row r="221" spans="1:13" ht="15.75" customHeight="1"/>
    <row r="222" spans="1:13" ht="15.75" customHeight="1"/>
    <row r="223" spans="1:13" ht="15.75" customHeight="1"/>
    <row r="224" spans="1:1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9:M303" xr:uid="{00000000-0009-0000-0000-000001000000}"/>
  <mergeCells count="21">
    <mergeCell ref="A9:C9"/>
    <mergeCell ref="E9:F9"/>
    <mergeCell ref="G9:K9"/>
    <mergeCell ref="A4:C4"/>
    <mergeCell ref="A7:A8"/>
    <mergeCell ref="B7:C7"/>
    <mergeCell ref="D7:D8"/>
    <mergeCell ref="E7:E8"/>
    <mergeCell ref="F7:F8"/>
    <mergeCell ref="G7:G8"/>
    <mergeCell ref="K6:L6"/>
    <mergeCell ref="H7:I7"/>
    <mergeCell ref="J7:J8"/>
    <mergeCell ref="K7:K8"/>
    <mergeCell ref="L7:L8"/>
    <mergeCell ref="F1:K1"/>
    <mergeCell ref="A3:C3"/>
    <mergeCell ref="F3:G3"/>
    <mergeCell ref="H3:K3"/>
    <mergeCell ref="F4:G4"/>
    <mergeCell ref="H4:K4"/>
  </mergeCells>
  <phoneticPr fontId="21" type="noConversion"/>
  <pageMargins left="0.7" right="0.7" top="0.75" bottom="0.75" header="0" footer="0"/>
  <pageSetup paperSize="9" scale="6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00"/>
  <sheetViews>
    <sheetView workbookViewId="0"/>
  </sheetViews>
  <sheetFormatPr baseColWidth="10" defaultColWidth="14.5" defaultRowHeight="15" customHeight="1"/>
  <cols>
    <col min="1" max="1" width="8.6640625" customWidth="1"/>
    <col min="2" max="14" width="15.1640625" customWidth="1"/>
  </cols>
  <sheetData>
    <row r="1" spans="1:14" ht="16.5" customHeight="1">
      <c r="A1" s="113" t="s">
        <v>694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16.5" customHeight="1"/>
    <row r="3" spans="1:14" ht="36.75" customHeight="1">
      <c r="A3" s="69" t="s">
        <v>695</v>
      </c>
      <c r="B3" s="70" t="s">
        <v>692</v>
      </c>
      <c r="C3" s="71">
        <v>1</v>
      </c>
      <c r="D3" s="72">
        <v>2</v>
      </c>
      <c r="E3" s="72">
        <v>3</v>
      </c>
      <c r="F3" s="72">
        <v>4</v>
      </c>
      <c r="G3" s="72">
        <v>5</v>
      </c>
      <c r="H3" s="72">
        <v>6</v>
      </c>
      <c r="I3" s="72">
        <v>7</v>
      </c>
      <c r="J3" s="72">
        <v>8</v>
      </c>
      <c r="K3" s="72">
        <v>9</v>
      </c>
      <c r="L3" s="72">
        <v>10</v>
      </c>
      <c r="M3" s="72">
        <v>11</v>
      </c>
      <c r="N3" s="73">
        <v>12</v>
      </c>
    </row>
    <row r="4" spans="1:14" ht="36.75" customHeight="1">
      <c r="A4" s="74" t="s">
        <v>683</v>
      </c>
      <c r="B4" s="75">
        <f t="shared" ref="B4:B6" si="0">SUM(C4:N4)</f>
        <v>1025</v>
      </c>
      <c r="C4" s="76">
        <v>96</v>
      </c>
      <c r="D4" s="77">
        <v>110</v>
      </c>
      <c r="E4" s="77">
        <v>89</v>
      </c>
      <c r="F4" s="77">
        <v>87</v>
      </c>
      <c r="G4" s="77">
        <v>122</v>
      </c>
      <c r="H4" s="77">
        <v>80</v>
      </c>
      <c r="I4" s="77">
        <v>110</v>
      </c>
      <c r="J4" s="77">
        <v>66</v>
      </c>
      <c r="K4" s="77">
        <v>55</v>
      </c>
      <c r="L4" s="77">
        <v>79</v>
      </c>
      <c r="M4" s="77">
        <v>74</v>
      </c>
      <c r="N4" s="78">
        <v>57</v>
      </c>
    </row>
    <row r="5" spans="1:14" ht="36.75" customHeight="1">
      <c r="A5" s="79" t="s">
        <v>685</v>
      </c>
      <c r="B5" s="80">
        <f t="shared" si="0"/>
        <v>240969340</v>
      </c>
      <c r="C5" s="81">
        <v>9899500</v>
      </c>
      <c r="D5" s="81">
        <v>18471200</v>
      </c>
      <c r="E5" s="81">
        <v>11279700</v>
      </c>
      <c r="F5" s="81">
        <v>11765300</v>
      </c>
      <c r="G5" s="81">
        <v>45010000</v>
      </c>
      <c r="H5" s="81">
        <v>14339150</v>
      </c>
      <c r="I5" s="81">
        <v>9028400</v>
      </c>
      <c r="J5" s="81">
        <v>9708400</v>
      </c>
      <c r="K5" s="81">
        <v>11923690</v>
      </c>
      <c r="L5" s="81">
        <v>9433600</v>
      </c>
      <c r="M5" s="81">
        <v>84027800</v>
      </c>
      <c r="N5" s="82">
        <v>6082600</v>
      </c>
    </row>
    <row r="6" spans="1:14" ht="36.75" customHeight="1">
      <c r="A6" s="79" t="s">
        <v>696</v>
      </c>
      <c r="B6" s="80">
        <f t="shared" si="0"/>
        <v>0</v>
      </c>
      <c r="C6" s="83">
        <v>0</v>
      </c>
      <c r="D6" s="81">
        <v>0</v>
      </c>
      <c r="E6" s="81">
        <v>0</v>
      </c>
      <c r="F6" s="81">
        <v>0</v>
      </c>
      <c r="G6" s="81">
        <v>0</v>
      </c>
      <c r="H6" s="81">
        <v>0</v>
      </c>
      <c r="I6" s="81">
        <v>0</v>
      </c>
      <c r="J6" s="81">
        <v>0</v>
      </c>
      <c r="K6" s="81">
        <v>0</v>
      </c>
      <c r="L6" s="81">
        <v>0</v>
      </c>
      <c r="M6" s="81">
        <v>0</v>
      </c>
      <c r="N6" s="82">
        <v>0</v>
      </c>
    </row>
    <row r="7" spans="1:14" ht="36.75" customHeight="1">
      <c r="A7" s="84" t="s">
        <v>697</v>
      </c>
      <c r="B7" s="85">
        <f t="shared" ref="B7:C7" si="1">B5-B6</f>
        <v>240969340</v>
      </c>
      <c r="C7" s="86">
        <f t="shared" si="1"/>
        <v>9899500</v>
      </c>
      <c r="D7" s="87">
        <f t="shared" ref="D7:N7" si="2">C7+D5-D6</f>
        <v>28370700</v>
      </c>
      <c r="E7" s="87">
        <f t="shared" si="2"/>
        <v>39650400</v>
      </c>
      <c r="F7" s="87">
        <f t="shared" si="2"/>
        <v>51415700</v>
      </c>
      <c r="G7" s="87">
        <f t="shared" si="2"/>
        <v>96425700</v>
      </c>
      <c r="H7" s="87">
        <f t="shared" si="2"/>
        <v>110764850</v>
      </c>
      <c r="I7" s="87">
        <f t="shared" si="2"/>
        <v>119793250</v>
      </c>
      <c r="J7" s="87">
        <f t="shared" si="2"/>
        <v>129501650</v>
      </c>
      <c r="K7" s="87">
        <f t="shared" si="2"/>
        <v>141425340</v>
      </c>
      <c r="L7" s="87">
        <f t="shared" si="2"/>
        <v>150858940</v>
      </c>
      <c r="M7" s="87">
        <f t="shared" si="2"/>
        <v>234886740</v>
      </c>
      <c r="N7" s="88">
        <f t="shared" si="2"/>
        <v>240969340</v>
      </c>
    </row>
    <row r="8" spans="1:14" ht="16.5" customHeight="1"/>
    <row r="9" spans="1:14" ht="16.5" customHeight="1"/>
    <row r="10" spans="1:14" ht="16.5" customHeight="1"/>
    <row r="11" spans="1:14" ht="16.5" customHeight="1"/>
    <row r="12" spans="1:14" ht="16.5" customHeight="1"/>
    <row r="13" spans="1:14" ht="16.5" customHeight="1"/>
    <row r="14" spans="1:14" ht="16.5" customHeight="1"/>
    <row r="15" spans="1:14" ht="16.5" customHeight="1"/>
    <row r="16" spans="1:1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honeticPr fontId="21" type="noConversion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주문판매내역서</vt:lpstr>
      <vt:lpstr>주문판매현황</vt:lpstr>
      <vt:lpstr>주문판매 월별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2026-01-15T04:59:39Z</dcterms:created>
  <dcterms:modified xsi:type="dcterms:W3CDTF">2026-01-15T04:59:39Z</dcterms:modified>
</cp:coreProperties>
</file>